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8.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9.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10.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1.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9.xml" ContentType="application/vnd.openxmlformats-officedocument.drawing+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b2d82e9b00d4840"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45" windowWidth="14805" windowHeight="4965" tabRatio="879" firstSheet="1" activeTab="1"/>
  </bookViews>
  <sheets>
    <sheet name="CB_DATA_" sheetId="5" state="veryHidden" r:id="rId1"/>
    <sheet name="报告封面" sheetId="25" r:id="rId2"/>
    <sheet name="目录" sheetId="26" r:id="rId3"/>
    <sheet name="填写说明" sheetId="30" r:id="rId4"/>
    <sheet name="项目属性" sheetId="27" r:id="rId5"/>
    <sheet name="项目度量分析计划" sheetId="6" r:id="rId6"/>
    <sheet name="模型" sheetId="17" r:id="rId7"/>
    <sheet name="预测-结果" sheetId="18" r:id="rId8"/>
    <sheet name="预测-指导" sheetId="8" r:id="rId9"/>
    <sheet name="需求" sheetId="24" r:id="rId10"/>
    <sheet name="工作量分布" sheetId="28" r:id="rId11"/>
    <sheet name="规模" sheetId="20" r:id="rId12"/>
    <sheet name="项目进度" sheetId="21" r:id="rId13"/>
    <sheet name="过程产出缺陷度量" sheetId="29" r:id="rId14"/>
    <sheet name="测试及验收缺陷度量" sheetId="22" r:id="rId15"/>
    <sheet name="人员统计" sheetId="23" r:id="rId16"/>
    <sheet name="根因分析" sheetId="15" r:id="rId17"/>
    <sheet name="模型数据检查" sheetId="16" r:id="rId18"/>
  </sheets>
  <externalReferences>
    <externalReference r:id="rId19"/>
    <externalReference r:id="rId20"/>
  </externalReferences>
  <definedNames>
    <definedName name="_Dist_Bin" hidden="1">#REF!</definedName>
    <definedName name="_Dist_Values" hidden="1">#REF!</definedName>
    <definedName name="_Fill" hidden="1">#REF!</definedName>
    <definedName name="_Key1" hidden="1">#REF!</definedName>
    <definedName name="_Order1" hidden="1">255</definedName>
    <definedName name="_Sort" hidden="1">#REF!</definedName>
    <definedName name="Access_Button" hidden="1">"BugTBLU0_LMS11_List"</definedName>
    <definedName name="AccessDatabase" hidden="1">"B:\Users\Docomo\バグ管理\BugTBLU0.mdb"</definedName>
    <definedName name="CB_0d51d5b842304f69b455a34d75a479b4" localSheetId="6" hidden="1">模型!$C$33</definedName>
    <definedName name="CB_15539ece3fa3422aa483062a75b7170b" localSheetId="6" hidden="1">模型!$K$40</definedName>
    <definedName name="CB_1a2617163a5f4fdfa5c86b1238642eeb" localSheetId="6" hidden="1">模型!$S$26</definedName>
    <definedName name="CB_20626df2f7784bb2ab3d011ad7069a0c" localSheetId="6" hidden="1">模型!$C$36</definedName>
    <definedName name="CB_27e8d3f94387455d943c25c552729f1f" localSheetId="6" hidden="1">模型!$E$33</definedName>
    <definedName name="CB_287ddc114e324335b84d73f55f6dc8ef" localSheetId="6" hidden="1">模型!$AH$22</definedName>
    <definedName name="CB_2917b5b9ab76444b848695ead84d1c73" localSheetId="6" hidden="1">模型!$E$40</definedName>
    <definedName name="CB_29c314e7464544bbadd6adf0ed6aaf36" localSheetId="6" hidden="1">模型!$I$40</definedName>
    <definedName name="CB_2d8ac51382e1403e8526c8ea14f36681" localSheetId="6" hidden="1">模型!$K$32</definedName>
    <definedName name="CB_314648e506104067abf2b6bd62c26e1d" localSheetId="6" hidden="1">模型!$G$33</definedName>
    <definedName name="CB_33a7133f98cd4159a292452ab59f4c22" localSheetId="6" hidden="1">模型!$AJ$22</definedName>
    <definedName name="CB_3759dcc05459455aa874e3bb3869de56" localSheetId="6" hidden="1">模型!$G$41</definedName>
    <definedName name="CB_3b7fc0a952824749a7a123081e56bd5a" localSheetId="0" hidden="1">#N/A</definedName>
    <definedName name="CB_3d972663926a451ea493e8ca552c188e" localSheetId="6" hidden="1">模型!$G$23</definedName>
    <definedName name="CB_4013127c466c4688ab31a91aa7517bee" localSheetId="6" hidden="1">模型!$S$24</definedName>
    <definedName name="CB_46a17b54970d4d8881b1913a527d703e" localSheetId="6" hidden="1">模型!$G$32</definedName>
    <definedName name="CB_49fbda2f4254426e955fef43bece5fd8" localSheetId="6" hidden="1">模型!$E$31</definedName>
    <definedName name="CB_4d1a8edca76749539f58534f7daa050b" localSheetId="6" hidden="1">模型!$S$28</definedName>
    <definedName name="CB_51ae3beccac54a14bde06e43a01dcb70" localSheetId="6" hidden="1">模型!$AI$22</definedName>
    <definedName name="CB_5530b102268144b794ce70dc0495d4fa" localSheetId="6" hidden="1">模型!$G$26</definedName>
    <definedName name="CB_596594bbd03e4c02835f16effc7b69fa" localSheetId="6" hidden="1">模型!$G$28</definedName>
    <definedName name="CB_69ef66d3bde74e099d2321a79f1cc495" localSheetId="6" hidden="1">模型!$M$37</definedName>
    <definedName name="CB_70024f4ab283440ea87b1e86ed8bcf16" localSheetId="6" hidden="1">模型!$C$22</definedName>
    <definedName name="CB_74e87ef5cc71489d9655608906e7ba00" localSheetId="6" hidden="1">模型!$C$41</definedName>
    <definedName name="CB_767dbb189756477e919e3e0ff364a98e" localSheetId="6" hidden="1">模型!$I$41</definedName>
    <definedName name="CB_7d2037b335ce4ad19089c42c14528803" localSheetId="6" hidden="1">模型!$C$23</definedName>
    <definedName name="CB_7fa688c167214b1cac67afa90e830383" localSheetId="6" hidden="1">模型!$C$32</definedName>
    <definedName name="CB_807aedd9deeb45d2a9b86fcbccd811df" localSheetId="6" hidden="1">模型!$G$40</definedName>
    <definedName name="CB_81461f6c2ffc405b8226f03ffe247c01" localSheetId="6" hidden="1">模型!$C$26</definedName>
    <definedName name="CB_85163a2ddff64c708cd022717c4303ff" localSheetId="6" hidden="1">模型!$M$36</definedName>
    <definedName name="CB_862dc469bf744bcd82a1f35ecf01eb53" localSheetId="6" hidden="1">模型!$C$27</definedName>
    <definedName name="CB_87606787c41843a789dbe29273b87486" localSheetId="6" hidden="1">模型!$E$28</definedName>
    <definedName name="CB_8aec4cdfed534e9fb82f7c1d584d8ddb" localSheetId="6" hidden="1">模型!$AK$22</definedName>
    <definedName name="CB_8f037fb5059742769ccd74434d8102df" localSheetId="0" hidden="1">#N/A</definedName>
    <definedName name="CB_8f984c7bd8fb4569b502f2e5a9e8f3c8" localSheetId="6" hidden="1">模型!$E$26</definedName>
    <definedName name="CB_9e4ed787d34c466b837959029a3f7097" localSheetId="0" hidden="1">#N/A</definedName>
    <definedName name="CB_9f2fd8df490546329d5de8373068b21b" localSheetId="6" hidden="1">模型!$S$25</definedName>
    <definedName name="CB_9fa0b9c7e9d64301bd4fd2d375af4717" localSheetId="6" hidden="1">模型!$C$28</definedName>
    <definedName name="CB_a18d171306434a6a831e0caf0b9ebf28" localSheetId="6" hidden="1">模型!$C$40</definedName>
    <definedName name="CB_aa49df306f0f47a8bc084dbd3f71c551" localSheetId="6" hidden="1">模型!$S$27</definedName>
    <definedName name="CB_ac071c8a6f4d4cf6b4a8c13cb878a5da" localSheetId="6" hidden="1">模型!$AG$22</definedName>
    <definedName name="CB_ba82796bf54740a6bac0ab276199f0f4" localSheetId="0" hidden="1">#N/A</definedName>
    <definedName name="CB_Block_00000000000000000000000000000000" localSheetId="0" hidden="1">"'7.0.0.0"</definedName>
    <definedName name="CB_Block_00000000000000000000000000000000" localSheetId="6" hidden="1">"'7.0.0.0"</definedName>
    <definedName name="CB_Block_00000000000000000000000000000001" localSheetId="0" hidden="1">"'635711967294162543"</definedName>
    <definedName name="CB_Block_00000000000000000000000000000001" localSheetId="6" hidden="1">"'635711967294902617"</definedName>
    <definedName name="CB_Block_00000000000000000000000000000003" localSheetId="0" hidden="1">"'11.1.2391.0"</definedName>
    <definedName name="CB_Block_00000000000000000000000000000003" localSheetId="6" hidden="1">"'11.1.2391.0"</definedName>
    <definedName name="CB_BlockExt_00000000000000000000000000000003" localSheetId="0" hidden="1">"'11.1.2.1.000"</definedName>
    <definedName name="CB_BlockExt_00000000000000000000000000000003" localSheetId="6" hidden="1">"'11.1.2.1.000"</definedName>
    <definedName name="CB_c58ba93e04f9416ca284bab6d18419e0" localSheetId="6" hidden="1">模型!$E$27</definedName>
    <definedName name="CB_c5edf4fca8994e60abf32bf4de682e81" localSheetId="6" hidden="1">模型!$I$33</definedName>
    <definedName name="CB_c647fdf272734dab8c56f0fc0877d2b2" localSheetId="6" hidden="1">模型!$K$36</definedName>
    <definedName name="CB_c854ec7add094ad3aaf12c55ecc676ad" localSheetId="6" hidden="1">模型!$G$36</definedName>
    <definedName name="CB_cdc71da68f62437a9946f8e614394e15" localSheetId="6" hidden="1">模型!$K$37</definedName>
    <definedName name="CB_d027f31596084d45a056cc06ba3caf8c" localSheetId="6" hidden="1">模型!$G$37</definedName>
    <definedName name="CB_d4563f781c39494e8534ca99376a494d" localSheetId="0" hidden="1">#N/A</definedName>
    <definedName name="CB_d5c69103d2f5485ba714547ee40e3197" localSheetId="6" hidden="1">模型!$E$32</definedName>
    <definedName name="CB_d9136336ba144b399720f342226999dd" localSheetId="6" hidden="1">模型!$C$37</definedName>
    <definedName name="CB_e1d31f45a0d746e0805ebc3d48c3aec5" localSheetId="6" hidden="1">模型!$E$41</definedName>
    <definedName name="CB_e2985dffb7c945bc9d34bcd15599bc72" localSheetId="6" hidden="1">模型!$E$37</definedName>
    <definedName name="CB_e3addf9cc4e94b7487889fa6dc48e241" localSheetId="6" hidden="1">模型!$K$41</definedName>
    <definedName name="CB_e551d312ef2b48fbb5a6b3e5fba60518" localSheetId="6" hidden="1">模型!$G$22</definedName>
    <definedName name="CB_e6dc212339384314b4ae7083dd657ab8" localSheetId="6" hidden="1">模型!$E$36</definedName>
    <definedName name="CB_f1ac2279c1334ef18ac07b18c44d3540" localSheetId="6" hidden="1">模型!$G$27</definedName>
    <definedName name="CB_f22f9172b2284969aced4c06a531c792" localSheetId="6" hidden="1">模型!$M$40</definedName>
    <definedName name="CB_f8488acfc515419f8264cf88f839d7bb" localSheetId="6" hidden="1">模型!$I$32</definedName>
    <definedName name="CB_fa6577bf0a56404eb6f9a3f67cd5e2be" localSheetId="6" hidden="1">模型!$M$41</definedName>
    <definedName name="CBCR_0704e77d519642e5920be5defdd0f45f" localSheetId="6" hidden="1">模型!$I$39</definedName>
    <definedName name="CBCR_0da741bd9a404a6ab6e7c96d04875127" localSheetId="6" hidden="1">模型!$E$35</definedName>
    <definedName name="CBCR_1c02dc8b0ea6450485e1a4b787b9c764" localSheetId="6" hidden="1">模型!$G$35</definedName>
    <definedName name="CBCR_1d59e240601e4c28b416892996fe2928" localSheetId="6" hidden="1">模型!$E$39</definedName>
    <definedName name="CBCR_26ad22ad67684ffaaef0d5d4599ccfd6" localSheetId="6" hidden="1">模型!$G$21</definedName>
    <definedName name="CBCR_2d10db16662d4164b40121341ad56d24" localSheetId="6" hidden="1">模型!$E$30</definedName>
    <definedName name="CBCR_2d88abcb2eea4a479ada8dd81e1edb8a" localSheetId="0" hidden="1">CB_DATA_!$A$10003</definedName>
    <definedName name="CBCR_2e37a11818a441088fbcf48c69be0083" localSheetId="6" hidden="1">模型!$M$39</definedName>
    <definedName name="CBCR_34a884f1dc3941b68c2e0aff2ddc15e2" localSheetId="6" hidden="1">模型!$G$33</definedName>
    <definedName name="CBCR_366982a0f0a94be78125a18caa9d3ebe" localSheetId="6" hidden="1">模型!$D$41</definedName>
    <definedName name="CBCR_397fa0bc92d24e3090fe6f89e330fd99" localSheetId="0" hidden="1">CB_DATA_!$A$10002</definedName>
    <definedName name="CBCR_3b2d49a5117b4b6194bfadf572412e91" localSheetId="6" hidden="1">模型!$E$25</definedName>
    <definedName name="CBCR_3c1b35517847401b85ca553043e6eaf5" localSheetId="6" hidden="1">模型!$H$32</definedName>
    <definedName name="CBCR_49a55941acf7460ba2bdf575a444c566" localSheetId="6" hidden="1">模型!$K$36</definedName>
    <definedName name="CBCR_4eade3aef2de4ee4bfef914145f030c5" localSheetId="6" hidden="1">模型!$K$39</definedName>
    <definedName name="CBCR_4f0070b369b44ce3a924765822d58005" localSheetId="6" hidden="1">模型!$E$25</definedName>
    <definedName name="CBCR_4f427fef9b4240d0a6e30858423c0076" localSheetId="0" hidden="1">CB_DATA_!$A$10004</definedName>
    <definedName name="CBCR_5ae14eaf28494affbbd5e94da2ab10a7" localSheetId="6" hidden="1">模型!$G$25</definedName>
    <definedName name="CBCR_642cc9dd1d1a43bf91713ae7a49d521c" localSheetId="0" hidden="1">CB_DATA_!$A$10001</definedName>
    <definedName name="CBCR_6bae21ce13e64d328301dc407aaad006" localSheetId="6" hidden="1">模型!$H$33</definedName>
    <definedName name="CBCR_6d737187e9644f78bbd6492505ae44c0" localSheetId="6" hidden="1">模型!$H$41</definedName>
    <definedName name="CBCR_8d3bde04b77047dc8e5c025874911601" localSheetId="6" hidden="1">模型!$J$41</definedName>
    <definedName name="CBCR_8e95a5a44c0f4ef8afeccf6abc136cbd" localSheetId="6" hidden="1">模型!$K$37</definedName>
    <definedName name="CBCR_8fcb2c23a40842459d49a763955279a8" localSheetId="6" hidden="1">模型!$G$25</definedName>
    <definedName name="CBCR_91c36aeb51824ed19aed16c99c6841ef" localSheetId="6" hidden="1">模型!$K$35</definedName>
    <definedName name="CBCR_942b841eb1804e128497cae00e20b2ac" localSheetId="6" hidden="1">模型!$E$30</definedName>
    <definedName name="CBCR_9511b0868053461f9247f8cfda95dc87" localSheetId="6" hidden="1">模型!$G$39</definedName>
    <definedName name="CBCR_a12055c3892a4e2491c176436eef6eae" localSheetId="6" hidden="1">模型!$M$35</definedName>
    <definedName name="CBCR_a70f4f4942f544cfa93cd9762015444d" localSheetId="6" hidden="1">模型!$M$37</definedName>
    <definedName name="CBCR_ae5b6381d42b4d809383a1e2fd7c6c9e" localSheetId="6" hidden="1">模型!$I$30</definedName>
    <definedName name="CBCR_b15f5426b28e4dc98ad776bdaaaf19d9" localSheetId="6" hidden="1">模型!$I$30</definedName>
    <definedName name="CBCR_b1eec34e03e44bb0bedccad6d6144f76" localSheetId="6" hidden="1">模型!$J$33</definedName>
    <definedName name="CBCR_b6193b84dda04d17ab7f39047adfa1e9" localSheetId="6" hidden="1">模型!$N$37</definedName>
    <definedName name="CBCR_b9a5f45cabd043f88a10e93f9df9356b" localSheetId="6" hidden="1">模型!$H$26</definedName>
    <definedName name="CBCR_be188bd7d3dd4093a1ca22e2f5a3fa35" localSheetId="6" hidden="1">模型!$M$36</definedName>
    <definedName name="CBCR_cecbd241096944fdb3c7211135ff21d8" localSheetId="6" hidden="1">模型!$J$40</definedName>
    <definedName name="CBCR_d6d70a1a5ac54250bdf89aebe3bd0003" localSheetId="6" hidden="1">模型!$N$36</definedName>
    <definedName name="CBCR_d7422f91d4824e1aad5e9c1756553551" localSheetId="0" hidden="1">CB_DATA_!$A$10005</definedName>
    <definedName name="CBCR_ddd38ad912884d2cb912de083196abce" localSheetId="6" hidden="1">模型!$G$32</definedName>
    <definedName name="CBCR_ed7fd6d61c76477fa0c2c45386a18300" localSheetId="6" hidden="1">模型!$H$36</definedName>
    <definedName name="CBCR_fa9e1b3a11ec4b4e83b905c20b414890" localSheetId="6" hidden="1">模型!$G$30</definedName>
    <definedName name="CBCR_fab6a4f2556f4b93b493eaddc2c3dc82" localSheetId="6" hidden="1">模型!$K$30</definedName>
    <definedName name="CBWorkbookPriority" localSheetId="0" hidden="1">-971115964</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_Guid" localSheetId="6" hidden="1">"'6f70a6af-b6ea-4d81-9f3d-65fedc0ff3aa"</definedName>
    <definedName name="CBx_SheetRef" localSheetId="0" hidden="1">CB_DATA_!$A$14</definedName>
    <definedName name="CBx_SheetRef" localSheetId="6" hidden="1">CB_DATA_!$C$14</definedName>
    <definedName name="CBx_StorageType" localSheetId="0" hidden="1">2</definedName>
    <definedName name="CBx_StorageType" localSheetId="6" hidden="1">2</definedName>
    <definedName name="Diskname">目录!$D$27</definedName>
    <definedName name="for_add">项目进度!$H$12:$H$16</definedName>
    <definedName name="for_Creview">过程产出缺陷度量!$A$112:$N$112</definedName>
    <definedName name="for_CRreview">过程产出缺陷度量!$A$9:$N$9</definedName>
    <definedName name="for_Dreview">过程产出缺陷度量!$A$59:$N$59</definedName>
    <definedName name="for_FRreview">过程产出缺陷度量!$A$33:$N$33</definedName>
    <definedName name="for_set_all1">过程产出缺陷度量!$I$9</definedName>
    <definedName name="for_set_all2">过程产出缺陷度量!$I$33</definedName>
    <definedName name="for_set_all3">过程产出缺陷度量!$I$59</definedName>
    <definedName name="for_set_all4">过程产出缺陷度量!$I$86</definedName>
    <definedName name="for_set_all5">过程产出缺陷度量!$I$112</definedName>
    <definedName name="for_set_all6">测试及验收缺陷度量!$I$14</definedName>
    <definedName name="for_set_calculate1">过程产出缺陷度量!$K$9</definedName>
    <definedName name="for_set_calculate2">过程产出缺陷度量!$K$33</definedName>
    <definedName name="for_set_calculate3">过程产出缺陷度量!$K$59</definedName>
    <definedName name="for_set_calculate4">过程产出缺陷度量!$K$86</definedName>
    <definedName name="for_set_calculate5">过程产出缺陷度量!$K$112</definedName>
    <definedName name="for_set_calculate6">测试及验收缺陷度量!$K$14</definedName>
    <definedName name="for_set_PPB">项目进度!$H$14:$H$16</definedName>
    <definedName name="for_set_PPB1">过程产出缺陷度量!$L$9:$N$9</definedName>
    <definedName name="for_set_PPB2">过程产出缺陷度量!$L$33:$N$33</definedName>
    <definedName name="for_set_PPB3">过程产出缺陷度量!$L$59:$N$59</definedName>
    <definedName name="for_set_PPB4">过程产出缺陷度量!$L$86:$N$86</definedName>
    <definedName name="for_set_PPB5">过程产出缺陷度量!$L$112:$N$112</definedName>
    <definedName name="for_set_PPB6">测试及验收缺陷度量!$L$14:$N$14</definedName>
    <definedName name="for_set_review1">过程产出缺陷度量!$A$7</definedName>
    <definedName name="for_set_review2">过程产出缺陷度量!$A$30</definedName>
    <definedName name="for_set_review3">过程产出缺陷度量!$A$56</definedName>
    <definedName name="for_set_review4">过程产出缺陷度量!$A$83</definedName>
    <definedName name="for_set_review5">过程产出缺陷度量!$A$108</definedName>
    <definedName name="for_set_test">测试及验收缺陷度量!$A$10</definedName>
    <definedName name="for_set_week">项目进度!$C$12</definedName>
    <definedName name="for_TCreview">过程产出缺陷度量!$A$86:$N$86</definedName>
    <definedName name="for_Test">测试及验收缺陷度量!$A$14:$N$14</definedName>
    <definedName name="PDeviation">项目进度!$B$13</definedName>
    <definedName name="Username">目录!$D$28</definedName>
    <definedName name="VCreview">过程产出缺陷度量!$A$112</definedName>
    <definedName name="VCRreview">过程产出缺陷度量!$A$9</definedName>
    <definedName name="VDeviation">项目进度!$H$13</definedName>
    <definedName name="VDreview">过程产出缺陷度量!$A$59</definedName>
    <definedName name="VFRreview">过程产出缺陷度量!$A$33</definedName>
    <definedName name="VSTS_ValidationRange_086a3911343f4d11bfc43cd363c2fc9e" hidden="1">#REF!</definedName>
    <definedName name="VSTS_ValidationRange_098b94c3d2e74b35b85d01a626dc8c6e" hidden="1">#REF!</definedName>
    <definedName name="VSTS_ValidationRange_0cbf0e5b39904da9b68e49269fe6f425" hidden="1">#REF!</definedName>
    <definedName name="VSTS_ValidationRange_2863dc41439048b38dee8105498bdff1" hidden="1">[1]VSTS_ValidationWS_1!$AQ$1:$AQ$2</definedName>
    <definedName name="VSTS_ValidationRange_35e0d0b1eb8145d9a81109072e9d023d" hidden="1">[1]VSTS_ValidationWS_1!$AS$1:$AS$9</definedName>
    <definedName name="VSTS_ValidationRange_391ec9b86867494a9a40de5de5639e05" hidden="1">#REF!</definedName>
    <definedName name="VSTS_ValidationRange_433a8d280ebf46d28ead6c40cb24c52e" hidden="1">#REF!</definedName>
    <definedName name="VSTS_ValidationRange_55808223dcb44866a7f4179f9b2e728f" hidden="1">[1]VSTS_ValidationWS_1!$AT$1:$AT$5</definedName>
    <definedName name="VSTS_ValidationRange_5df4c2ac11c04a8e83728bf4c0726d5d" hidden="1">#REF!</definedName>
    <definedName name="VSTS_ValidationRange_7320edc423744db39b171d7071c5de10" hidden="1">#REF!</definedName>
    <definedName name="VSTS_ValidationRange_874d7a6af0f849d78452c31766d4412c" hidden="1">[1]VSTS_ValidationWS_1!$AU$1:$AU$3</definedName>
    <definedName name="VSTS_ValidationRange_89011b7dc6824fb9bff49aa72c313cde" hidden="1">[1]VSTS_ValidationWS_1!$AR$1:$AR$5</definedName>
    <definedName name="VSTS_ValidationRange_911954e328dd4e9abce7fe2d54dce78d" hidden="1">#REF!</definedName>
    <definedName name="VSTS_ValidationRange_cdd85ef5a4a94d81ba269647e04260a9" hidden="1">#REF!</definedName>
    <definedName name="VSTS_ValidationRange_e972ab3460c64c6aadbc82fe13490467" hidden="1">#REF!</definedName>
    <definedName name="VTCreview">过程产出缺陷度量!$A$86</definedName>
    <definedName name="VTest">测试及验收缺陷度量!$A$14</definedName>
    <definedName name="Vweek">项目进度!$H$12</definedName>
    <definedName name="W" hidden="1">#REF!</definedName>
    <definedName name="测试加权缺陷密度的均值于画图">OFFSET(测试及验收缺陷度量!$M$10,,,COUNTA(测试及验收缺陷度量!$M$10:$M$14)-1)</definedName>
    <definedName name="测试加权缺陷密度的上限于画图">OFFSET(测试及验收缺陷度量!$N$10,,,COUNTA(测试及验收缺陷度量!$N$10:$N$14)-1)</definedName>
    <definedName name="测试加权缺陷密度的下限于画图">OFFSET(测试及验收缺陷度量!$L$10,,,COUNTA(测试及验收缺陷度量!$L$10:$L$14)-1)</definedName>
    <definedName name="测试加权缺陷密度于画图">OFFSET(测试及验收缺陷度量!$K$10,,,COUNTA(测试及验收缺陷度量!$K$10:$K$14)-1)</definedName>
    <definedName name="测试轮次于画图">OFFSET(测试及验收缺陷度量!$A$10,,,COUNTA(测试及验收缺陷度量!$A$10:$A$14)-1)</definedName>
    <definedName name="测试用例评审次数于画图">OFFSET(过程产出缺陷度量!$A$83,,,COUNTA(过程产出缺陷度量!$A$83:$A$86)-1)</definedName>
    <definedName name="测试用例评审缺陷密度的均值于画图">OFFSET(过程产出缺陷度量!$M$83,,,COUNTA(过程产出缺陷度量!$M$83:$M$86)-1)</definedName>
    <definedName name="测试用例评审缺陷密度的上限于画图">OFFSET(过程产出缺陷度量!$N$83,,,COUNTA(过程产出缺陷度量!$N$83:$N$86)-1)</definedName>
    <definedName name="测试用例评审缺陷密度的下限于画图">OFFSET(过程产出缺陷度量!$L$83,,,COUNTA(过程产出缺陷度量!$L$83:$L$86)-1)</definedName>
    <definedName name="测试用例评审缺陷密度于画图">OFFSET(过程产出缺陷度量!$K$83,,,COUNTA(过程产出缺陷度量!$K$83:$K$86)-1)</definedName>
    <definedName name="代码走查次数于画图">OFFSET(过程产出缺陷度量!$A$108,,,COUNTA(过程产出缺陷度量!$A$108:$A$112)-1)</definedName>
    <definedName name="代码走查缺陷密度的均值于画图">OFFSET(过程产出缺陷度量!$M$108,,,COUNTA(过程产出缺陷度量!$M$108:$M$112)-1)</definedName>
    <definedName name="代码走查缺陷密度的上限于画图">OFFSET(过程产出缺陷度量!$N$108,,,COUNTA(过程产出缺陷度量!$N$108:$N$112)-1)</definedName>
    <definedName name="代码走查缺陷密度的下限于画图">OFFSET(过程产出缺陷度量!$L$108,,,COUNTA(过程产出缺陷度量!$L$108:$L$112)-1)</definedName>
    <definedName name="代码走查缺陷密度于画图">OFFSET(过程产出缺陷度量!$K$108,,,COUNTA(过程产出缺陷度量!$K$108:$K$112)-1)</definedName>
    <definedName name="进度偏差的均值于画图">OFFSET(项目进度!$C$15,,,,COUNTA(项目进度!$C$15:$H$15)-1)</definedName>
    <definedName name="进度偏差的上限于画图">OFFSET(项目进度!$C$16,,,,COUNTA(项目进度!$C$16:$H$16)-1)</definedName>
    <definedName name="进度偏差的下限于画图">OFFSET(项目进度!$C$14,,,,COUNTA(项目进度!$C$14:$H$14)-1)</definedName>
    <definedName name="客户需求评审次数">OFFSET(过程产出缺陷度量!$A$7,,,COUNTA(过程产出缺陷度量!$A$7:$A$9)-1)</definedName>
    <definedName name="客户需求评审缺陷密度">OFFSET(过程产出缺陷度量!$K$7,,,COUNTA(过程产出缺陷度量!$K$7:$K$9)-1)</definedName>
    <definedName name="客户需求评审缺陷密度的均值">OFFSET(过程产出缺陷度量!$M$7,,,COUNTA(过程产出缺陷度量!$M$7:$M$9)-1)</definedName>
    <definedName name="客户需求评审缺陷密度的上限">OFFSET(过程产出缺陷度量!$N$7,,,COUNTA(过程产出缺陷度量!$N$7:$N$9)-1)</definedName>
    <definedName name="客户需求评审缺陷密度的下限">OFFSET(过程产出缺陷度量!$L$7,,,COUNTA(过程产出缺陷度量!$L$7:$L$9)-1)</definedName>
    <definedName name="人员">OFFSET(人员统计!$A$7,,,COUNTA(人员统计!$A$7:$A$21)+COUNTBLANK(人员统计!$A$7:$A$21))</definedName>
    <definedName name="设计评审次数于画图">OFFSET(过程产出缺陷度量!$A$56,,,COUNTA(过程产出缺陷度量!$A$56:$A$59)-1)</definedName>
    <definedName name="设计评审缺陷密度的均值于画图">OFFSET(过程产出缺陷度量!$M$56,,,COUNTA(过程产出缺陷度量!$M$56:$M$59)-1)</definedName>
    <definedName name="设计评审缺陷密度的上限于画图">OFFSET(过程产出缺陷度量!$N$56,,,COUNTA(过程产出缺陷度量!$N$56:$N$59)-1)</definedName>
    <definedName name="设计评审缺陷密度的下限于画图">OFFSET(过程产出缺陷度量!$L$56,,,COUNTA(过程产出缺陷度量!$L$56:$L$59)-1)</definedName>
    <definedName name="设计评审缺陷密度于画图">OFFSET(过程产出缺陷度量!$K$56,,,COUNTA(过程产出缺陷度量!$K$56:$K$59)-1)</definedName>
    <definedName name="需求规格评审次数于画图">OFFSET(过程产出缺陷度量!$A$30,,,COUNTA(过程产出缺陷度量!$A$30:$A$33)-1)</definedName>
    <definedName name="需求规格评审缺陷密度的均值于画图">OFFSET(过程产出缺陷度量!$M$30,,,COUNTA(过程产出缺陷度量!$M$30:$M$33)-1)</definedName>
    <definedName name="需求规格评审缺陷密度的上限于画图">OFFSET(过程产出缺陷度量!$N$30,,,COUNTA(过程产出缺陷度量!$N$30:$N$33)-1)</definedName>
    <definedName name="需求规格评审缺陷密度的下限于画图">OFFSET(过程产出缺陷度量!$L$30,,,COUNTA(过程产出缺陷度量!$L$30:$L$33)-1)</definedName>
    <definedName name="需求规格评审缺陷密度于画图">OFFSET(过程产出缺陷度量!$K$30,,,COUNTA(过程产出缺陷度量!$K$30:$K$33)-1)</definedName>
    <definedName name="周次">OFFSET(人员统计!#REF!,,,,COUNTA(人员统计!$J$7:$J$7))</definedName>
    <definedName name="周次于画图">OFFSET(项目进度!$C$12,,,,COUNTA(项目进度!$C$12:$H$12)-1)</definedName>
    <definedName name="周进度偏差于画图">OFFSET(项目进度!$C$13,,,,COUNTA(项目进度!$C$13:$H$13)-1)</definedName>
    <definedName name="最后一周">OFFSET(人员统计!$J$7,,,COUNTA(人员统计!$Q$7:$Q$21)+COUNTBLANK(人员统计!$Q$7:$Q$21))</definedName>
  </definedNames>
  <calcPr calcId="145621"/>
</workbook>
</file>

<file path=xl/calcChain.xml><?xml version="1.0" encoding="utf-8"?>
<calcChain xmlns="http://schemas.openxmlformats.org/spreadsheetml/2006/main">
  <c r="H6" i="21" l="1"/>
  <c r="J6" i="21"/>
  <c r="I8" i="21"/>
  <c r="I10" i="21"/>
  <c r="I6" i="21"/>
  <c r="H9" i="21"/>
  <c r="I9" i="21" s="1"/>
  <c r="H8" i="21"/>
  <c r="J8" i="21" s="1"/>
  <c r="H7" i="21"/>
  <c r="I7" i="21" s="1"/>
  <c r="H10" i="21"/>
  <c r="J10" i="21" s="1"/>
  <c r="C8" i="20"/>
  <c r="C9" i="20"/>
  <c r="G14" i="28" s="1"/>
  <c r="C10" i="20"/>
  <c r="C11" i="20"/>
  <c r="C7" i="20"/>
  <c r="G4" i="8"/>
  <c r="J113" i="29"/>
  <c r="J87" i="29"/>
  <c r="J60" i="29"/>
  <c r="J34" i="29"/>
  <c r="J10" i="29"/>
  <c r="J7" i="23"/>
  <c r="Q5" i="23"/>
  <c r="P5" i="23"/>
  <c r="O5" i="23"/>
  <c r="N5" i="23"/>
  <c r="M5" i="23"/>
  <c r="L5" i="23"/>
  <c r="K5" i="23"/>
  <c r="J5" i="23"/>
  <c r="E37" i="22"/>
  <c r="E34" i="22"/>
  <c r="F44" i="21"/>
  <c r="J43" i="21" s="1"/>
  <c r="F42" i="21"/>
  <c r="C42" i="21"/>
  <c r="J41" i="21" s="1"/>
  <c r="I7" i="23"/>
  <c r="H7" i="23"/>
  <c r="E20" i="23"/>
  <c r="J29" i="23" s="1"/>
  <c r="E19" i="23"/>
  <c r="E10" i="23"/>
  <c r="E8" i="23"/>
  <c r="E9" i="23"/>
  <c r="E11" i="23"/>
  <c r="E12" i="23"/>
  <c r="E13" i="23"/>
  <c r="E14" i="23"/>
  <c r="E15" i="23"/>
  <c r="G12" i="21"/>
  <c r="F12" i="21"/>
  <c r="E12" i="21"/>
  <c r="D12" i="21"/>
  <c r="I13" i="22"/>
  <c r="K13" i="22" s="1"/>
  <c r="A13" i="22"/>
  <c r="I85" i="29"/>
  <c r="K85" i="29"/>
  <c r="A85" i="29"/>
  <c r="I58" i="29"/>
  <c r="A58" i="29"/>
  <c r="I57" i="29"/>
  <c r="K57" i="29"/>
  <c r="A57" i="29"/>
  <c r="I32" i="29"/>
  <c r="A32" i="29"/>
  <c r="I31" i="29"/>
  <c r="K31" i="29"/>
  <c r="A31" i="29"/>
  <c r="G13" i="22"/>
  <c r="I8" i="29"/>
  <c r="K8" i="29"/>
  <c r="A8" i="29"/>
  <c r="H24" i="16"/>
  <c r="G25" i="16"/>
  <c r="G24" i="16"/>
  <c r="F25" i="16"/>
  <c r="F24" i="16"/>
  <c r="E25" i="16"/>
  <c r="E24" i="16"/>
  <c r="D25" i="16"/>
  <c r="D24" i="16"/>
  <c r="C25" i="16"/>
  <c r="C24" i="16"/>
  <c r="H25" i="16"/>
  <c r="I21" i="16"/>
  <c r="H21" i="16"/>
  <c r="G21" i="16"/>
  <c r="F21" i="16"/>
  <c r="E21" i="16"/>
  <c r="D21" i="16"/>
  <c r="C21" i="16"/>
  <c r="I20" i="16"/>
  <c r="H20" i="16"/>
  <c r="G20" i="16"/>
  <c r="F20" i="16"/>
  <c r="E20" i="16"/>
  <c r="D20" i="16"/>
  <c r="C20" i="16"/>
  <c r="G17" i="16"/>
  <c r="E17" i="16"/>
  <c r="D17" i="16"/>
  <c r="C17" i="16"/>
  <c r="G16" i="16"/>
  <c r="E11" i="16"/>
  <c r="E16" i="16"/>
  <c r="D16" i="16"/>
  <c r="C16" i="16"/>
  <c r="G15" i="16"/>
  <c r="E15" i="16"/>
  <c r="D15" i="16"/>
  <c r="C15" i="16"/>
  <c r="E12" i="16"/>
  <c r="E10" i="16"/>
  <c r="D12" i="16"/>
  <c r="D11" i="16"/>
  <c r="D10" i="16"/>
  <c r="C12" i="16"/>
  <c r="C11" i="16"/>
  <c r="C10" i="16"/>
  <c r="C7" i="16"/>
  <c r="C6" i="16"/>
  <c r="E7" i="16"/>
  <c r="E6" i="16"/>
  <c r="G8" i="15"/>
  <c r="G7" i="15"/>
  <c r="C12" i="21"/>
  <c r="I16" i="22"/>
  <c r="I11" i="22"/>
  <c r="G11" i="22"/>
  <c r="I12" i="22"/>
  <c r="G12" i="22"/>
  <c r="I10" i="22"/>
  <c r="G10" i="22"/>
  <c r="G15" i="22" s="1"/>
  <c r="B14" i="22"/>
  <c r="C14" i="22"/>
  <c r="I14" i="22" s="1"/>
  <c r="K14" i="22" s="1"/>
  <c r="D14" i="22"/>
  <c r="E14" i="22"/>
  <c r="E15" i="22" s="1"/>
  <c r="F14" i="22"/>
  <c r="J15" i="22"/>
  <c r="N16" i="22"/>
  <c r="M16" i="22"/>
  <c r="L16" i="22"/>
  <c r="N15" i="22"/>
  <c r="M15" i="22"/>
  <c r="L15" i="22"/>
  <c r="H15" i="22"/>
  <c r="A11" i="22"/>
  <c r="A12" i="22"/>
  <c r="A10" i="22"/>
  <c r="M12" i="22"/>
  <c r="M13" i="22"/>
  <c r="N13" i="22"/>
  <c r="M14" i="22"/>
  <c r="M11" i="22"/>
  <c r="M10" i="22"/>
  <c r="N12" i="22"/>
  <c r="I111" i="29"/>
  <c r="K111" i="29"/>
  <c r="A111" i="29"/>
  <c r="I110" i="29"/>
  <c r="K110" i="29" s="1"/>
  <c r="A110" i="29"/>
  <c r="A109" i="29"/>
  <c r="A108" i="29"/>
  <c r="I109" i="29"/>
  <c r="K109" i="29"/>
  <c r="I108" i="29"/>
  <c r="H113" i="29"/>
  <c r="G113" i="29"/>
  <c r="F113" i="29"/>
  <c r="E113" i="29"/>
  <c r="D113" i="29"/>
  <c r="C113" i="29"/>
  <c r="B113" i="29"/>
  <c r="I112" i="29"/>
  <c r="K112" i="29"/>
  <c r="C87" i="29"/>
  <c r="D87" i="29"/>
  <c r="E87" i="29"/>
  <c r="F87" i="29"/>
  <c r="G87" i="29"/>
  <c r="H87" i="29"/>
  <c r="B87" i="29"/>
  <c r="I84" i="29"/>
  <c r="K84" i="29" s="1"/>
  <c r="I83" i="29"/>
  <c r="I86" i="29"/>
  <c r="K86" i="29" s="1"/>
  <c r="A84" i="29"/>
  <c r="A83" i="29"/>
  <c r="C60" i="29"/>
  <c r="D60" i="29"/>
  <c r="E60" i="29"/>
  <c r="F60" i="29"/>
  <c r="G60" i="29"/>
  <c r="H60" i="29"/>
  <c r="B60" i="29"/>
  <c r="I56" i="29"/>
  <c r="K56" i="29"/>
  <c r="I59" i="29"/>
  <c r="K59" i="29"/>
  <c r="A56" i="29"/>
  <c r="I113" i="29"/>
  <c r="K113" i="29" s="1"/>
  <c r="K108" i="29"/>
  <c r="C34" i="29"/>
  <c r="D34" i="29"/>
  <c r="E34" i="29"/>
  <c r="F34" i="29"/>
  <c r="G34" i="29"/>
  <c r="H34" i="29"/>
  <c r="B34" i="29"/>
  <c r="C10" i="29"/>
  <c r="D10" i="29"/>
  <c r="E10" i="29"/>
  <c r="F10" i="29"/>
  <c r="G10" i="29"/>
  <c r="H10" i="29"/>
  <c r="B10" i="29"/>
  <c r="A30" i="29"/>
  <c r="A7" i="29"/>
  <c r="I33" i="29"/>
  <c r="K33" i="29"/>
  <c r="I30" i="29"/>
  <c r="K30" i="29"/>
  <c r="I7" i="29"/>
  <c r="K7" i="29"/>
  <c r="I9" i="29"/>
  <c r="K9" i="29"/>
  <c r="I10" i="29"/>
  <c r="K10" i="29"/>
  <c r="I14" i="28"/>
  <c r="E14" i="28"/>
  <c r="C14" i="28"/>
  <c r="M13" i="28"/>
  <c r="L13" i="28"/>
  <c r="J13" i="28"/>
  <c r="H13" i="28"/>
  <c r="F13" i="28"/>
  <c r="F25" i="28" s="1"/>
  <c r="D13" i="28"/>
  <c r="N12" i="28"/>
  <c r="O12" i="28" s="1"/>
  <c r="K12" i="28"/>
  <c r="I12" i="28"/>
  <c r="G12" i="28"/>
  <c r="E12" i="28"/>
  <c r="C12" i="28"/>
  <c r="N11" i="28"/>
  <c r="O11" i="28"/>
  <c r="K11" i="28"/>
  <c r="I11" i="28"/>
  <c r="G11" i="28"/>
  <c r="E11" i="28"/>
  <c r="C11" i="28"/>
  <c r="N10" i="28"/>
  <c r="O10" i="28" s="1"/>
  <c r="K10" i="28"/>
  <c r="I10" i="28"/>
  <c r="G10" i="28"/>
  <c r="E10" i="28"/>
  <c r="C10" i="28"/>
  <c r="C13" i="28" s="1"/>
  <c r="N9" i="28"/>
  <c r="O9" i="28"/>
  <c r="K9" i="28"/>
  <c r="I9" i="28"/>
  <c r="G9" i="28"/>
  <c r="E9" i="28"/>
  <c r="E13" i="28" s="1"/>
  <c r="C9" i="28"/>
  <c r="N8" i="28"/>
  <c r="K8" i="28"/>
  <c r="I8" i="28"/>
  <c r="I13" i="28" s="1"/>
  <c r="B64" i="23" s="1"/>
  <c r="G8" i="28"/>
  <c r="E8" i="28"/>
  <c r="C8" i="28"/>
  <c r="N13" i="28"/>
  <c r="O8" i="28"/>
  <c r="C18" i="28"/>
  <c r="P12" i="28"/>
  <c r="M15" i="28"/>
  <c r="A10005" i="5"/>
  <c r="A10004" i="5"/>
  <c r="A10003" i="5"/>
  <c r="A10002" i="5"/>
  <c r="A10001" i="5"/>
  <c r="G10" i="24"/>
  <c r="J10" i="24"/>
  <c r="O10" i="24" s="1"/>
  <c r="N10" i="24"/>
  <c r="C11" i="24"/>
  <c r="C12" i="24"/>
  <c r="C13" i="24" s="1"/>
  <c r="C14" i="24" s="1"/>
  <c r="J14" i="24" s="1"/>
  <c r="O14" i="24" s="1"/>
  <c r="G11" i="24"/>
  <c r="J11" i="24" s="1"/>
  <c r="N11" i="24"/>
  <c r="G12" i="24"/>
  <c r="N12" i="24"/>
  <c r="G13" i="24"/>
  <c r="N13" i="24"/>
  <c r="G14" i="24"/>
  <c r="N14" i="24"/>
  <c r="C15" i="24"/>
  <c r="D15" i="24"/>
  <c r="E15" i="24"/>
  <c r="F15" i="24"/>
  <c r="G15" i="24"/>
  <c r="H15" i="24"/>
  <c r="I15" i="24"/>
  <c r="G22" i="24"/>
  <c r="J22" i="24"/>
  <c r="O22" i="24" s="1"/>
  <c r="N22" i="24"/>
  <c r="C23" i="24"/>
  <c r="C24" i="24"/>
  <c r="C25" i="24" s="1"/>
  <c r="J25" i="24" s="1"/>
  <c r="O25" i="24" s="1"/>
  <c r="G23" i="24"/>
  <c r="N23" i="24"/>
  <c r="G24" i="24"/>
  <c r="N24" i="24"/>
  <c r="G25" i="24"/>
  <c r="N25" i="24"/>
  <c r="G26" i="24"/>
  <c r="N26" i="24"/>
  <c r="C27" i="24"/>
  <c r="D27" i="24"/>
  <c r="E27" i="24"/>
  <c r="F27" i="24"/>
  <c r="H27" i="24"/>
  <c r="I27" i="24"/>
  <c r="I65" i="23"/>
  <c r="I64" i="23"/>
  <c r="I63" i="23"/>
  <c r="I62" i="23"/>
  <c r="I61" i="23"/>
  <c r="F53" i="23"/>
  <c r="D53" i="23"/>
  <c r="C53" i="23"/>
  <c r="J51" i="23"/>
  <c r="J50" i="23"/>
  <c r="J49" i="23"/>
  <c r="J48" i="23"/>
  <c r="H48" i="23"/>
  <c r="K40" i="23"/>
  <c r="G48" i="23"/>
  <c r="B49" i="23"/>
  <c r="J47" i="23"/>
  <c r="D40" i="23"/>
  <c r="D39" i="23"/>
  <c r="D38" i="23"/>
  <c r="D37" i="23"/>
  <c r="D36" i="23"/>
  <c r="E21" i="23"/>
  <c r="I29" i="23" s="1"/>
  <c r="E18" i="23"/>
  <c r="F29" i="23" s="1"/>
  <c r="E17" i="23"/>
  <c r="E16" i="23"/>
  <c r="D29" i="23"/>
  <c r="C29" i="23"/>
  <c r="G6" i="23"/>
  <c r="F15" i="22"/>
  <c r="D15" i="22"/>
  <c r="K11" i="22"/>
  <c r="J42" i="21"/>
  <c r="B35" i="21"/>
  <c r="I4" i="21"/>
  <c r="H49" i="23"/>
  <c r="K41" i="23" s="1"/>
  <c r="G29" i="23"/>
  <c r="B29" i="23"/>
  <c r="H29" i="23"/>
  <c r="E29" i="23"/>
  <c r="A29" i="23"/>
  <c r="O11" i="24"/>
  <c r="B15" i="22"/>
  <c r="H4" i="21"/>
  <c r="J23" i="24"/>
  <c r="O23" i="24" s="1"/>
  <c r="J15" i="24"/>
  <c r="O15" i="24" s="1"/>
  <c r="K12" i="22"/>
  <c r="J12" i="24"/>
  <c r="O12" i="24" s="1"/>
  <c r="G27" i="24"/>
  <c r="J27" i="24" s="1"/>
  <c r="K10" i="22"/>
  <c r="G49" i="23"/>
  <c r="B50" i="23"/>
  <c r="H6" i="8"/>
  <c r="H5" i="8"/>
  <c r="H50" i="23"/>
  <c r="K42" i="23" s="1"/>
  <c r="G50" i="23"/>
  <c r="B51" i="23" s="1"/>
  <c r="V28" i="17"/>
  <c r="V27" i="17"/>
  <c r="C11" i="5"/>
  <c r="AD28" i="17"/>
  <c r="AK22" i="17" s="1"/>
  <c r="AB28" i="17"/>
  <c r="Z28" i="17"/>
  <c r="T28" i="17"/>
  <c r="AD27" i="17"/>
  <c r="AB27" i="17"/>
  <c r="Z27" i="17"/>
  <c r="X27" i="17"/>
  <c r="T27" i="17"/>
  <c r="AB26" i="17"/>
  <c r="Z26" i="17"/>
  <c r="AI22" i="17" s="1"/>
  <c r="X26" i="17"/>
  <c r="V26" i="17"/>
  <c r="T26" i="17"/>
  <c r="V25" i="17"/>
  <c r="T25" i="17"/>
  <c r="X24" i="17"/>
  <c r="T24" i="17"/>
  <c r="AG22" i="17" s="1"/>
  <c r="AJ22" i="17"/>
  <c r="L11" i="8"/>
  <c r="K11" i="8"/>
  <c r="J11" i="8"/>
  <c r="F73" i="6"/>
  <c r="H82" i="15"/>
  <c r="H4" i="8"/>
  <c r="G11" i="8"/>
  <c r="H11" i="8"/>
  <c r="G12" i="8"/>
  <c r="H12" i="8"/>
  <c r="G13" i="8"/>
  <c r="H13" i="8"/>
  <c r="F18" i="8"/>
  <c r="G18" i="8"/>
  <c r="F19" i="8"/>
  <c r="G19" i="8"/>
  <c r="F20" i="8"/>
  <c r="G20" i="8"/>
  <c r="A11" i="5"/>
  <c r="P2" i="5"/>
  <c r="H51" i="23" l="1"/>
  <c r="K43" i="23" s="1"/>
  <c r="G51" i="23"/>
  <c r="B52" i="23" s="1"/>
  <c r="B62" i="23"/>
  <c r="F24" i="28"/>
  <c r="E16" i="28"/>
  <c r="B61" i="23"/>
  <c r="E24" i="28"/>
  <c r="C16" i="28"/>
  <c r="C19" i="20"/>
  <c r="M16" i="28"/>
  <c r="P11" i="28"/>
  <c r="K18" i="28"/>
  <c r="P8" i="28"/>
  <c r="I18" i="28"/>
  <c r="G18" i="28"/>
  <c r="H25" i="28"/>
  <c r="I15" i="28"/>
  <c r="I16" i="28"/>
  <c r="K83" i="29"/>
  <c r="I87" i="29"/>
  <c r="K87" i="29" s="1"/>
  <c r="L14" i="22"/>
  <c r="L10" i="22"/>
  <c r="L11" i="22"/>
  <c r="L12" i="22"/>
  <c r="N14" i="22"/>
  <c r="N11" i="22"/>
  <c r="K58" i="29"/>
  <c r="I60" i="29"/>
  <c r="K60" i="29" s="1"/>
  <c r="C64" i="23"/>
  <c r="D64" i="23" s="1"/>
  <c r="K57" i="23" s="1"/>
  <c r="D5" i="20"/>
  <c r="B19" i="20"/>
  <c r="D19" i="20" s="1"/>
  <c r="I17" i="22"/>
  <c r="J7" i="21"/>
  <c r="AH22" i="17"/>
  <c r="J24" i="24"/>
  <c r="O24" i="24" s="1"/>
  <c r="C15" i="22"/>
  <c r="I15" i="22" s="1"/>
  <c r="K15" i="22" s="1"/>
  <c r="J16" i="22"/>
  <c r="K16" i="22" s="1"/>
  <c r="C26" i="24"/>
  <c r="J26" i="24" s="1"/>
  <c r="O26" i="24" s="1"/>
  <c r="J13" i="24"/>
  <c r="O13" i="24" s="1"/>
  <c r="P9" i="28"/>
  <c r="P10" i="28"/>
  <c r="E18" i="28"/>
  <c r="E17" i="28"/>
  <c r="P23" i="28" s="1"/>
  <c r="E15" i="28"/>
  <c r="G13" i="28"/>
  <c r="K13" i="28"/>
  <c r="C61" i="23"/>
  <c r="E25" i="28"/>
  <c r="C15" i="28"/>
  <c r="C17" i="28"/>
  <c r="P22" i="28" s="1"/>
  <c r="G17" i="28"/>
  <c r="P25" i="28" s="1"/>
  <c r="C63" i="23"/>
  <c r="G25" i="28"/>
  <c r="G16" i="28"/>
  <c r="C65" i="23"/>
  <c r="I25" i="28"/>
  <c r="K15" i="28"/>
  <c r="H24" i="28"/>
  <c r="K14" i="28"/>
  <c r="M14" i="28" s="1"/>
  <c r="N10" i="22"/>
  <c r="L13" i="22"/>
  <c r="K32" i="29"/>
  <c r="I34" i="29"/>
  <c r="K34" i="29" s="1"/>
  <c r="D6" i="23"/>
  <c r="C62" i="23"/>
  <c r="J9" i="21"/>
  <c r="D61" i="23" l="1"/>
  <c r="K54" i="23" s="1"/>
  <c r="C66" i="23"/>
  <c r="B63" i="23"/>
  <c r="D63" i="23" s="1"/>
  <c r="K56" i="23" s="1"/>
  <c r="G15" i="28"/>
  <c r="G24" i="28"/>
  <c r="H52" i="23"/>
  <c r="K44" i="23" s="1"/>
  <c r="G52" i="23"/>
  <c r="D62" i="23"/>
  <c r="K55" i="23" s="1"/>
  <c r="K17" i="28"/>
  <c r="I24" i="28"/>
  <c r="K16" i="28"/>
  <c r="B65" i="23"/>
  <c r="D65" i="23" s="1"/>
  <c r="K58" i="23" s="1"/>
  <c r="K17" i="22"/>
  <c r="I17" i="28"/>
  <c r="P26" i="28" s="1"/>
  <c r="B53" i="23"/>
  <c r="H53" i="23" l="1"/>
  <c r="G53" i="23"/>
  <c r="B66" i="23"/>
  <c r="P27" i="28"/>
  <c r="M17" i="28"/>
  <c r="D66" i="23"/>
</calcChain>
</file>

<file path=xl/comments1.xml><?xml version="1.0" encoding="utf-8"?>
<comments xmlns="http://schemas.openxmlformats.org/spreadsheetml/2006/main">
  <authors>
    <author>作者</author>
  </authors>
  <commentList>
    <comment ref="A9" authorId="0">
      <text>
        <r>
          <rPr>
            <b/>
            <sz val="9"/>
            <color indexed="81"/>
            <rFont val="宋体"/>
            <family val="3"/>
            <charset val="134"/>
          </rPr>
          <t>注：每种软件类型都有它自已的劳动率，具有不同的开发成本。</t>
        </r>
        <r>
          <rPr>
            <sz val="9"/>
            <color indexed="81"/>
            <rFont val="宋体"/>
            <family val="3"/>
            <charset val="134"/>
          </rPr>
          <t xml:space="preserve">
</t>
        </r>
      </text>
    </comment>
    <comment ref="A14" authorId="0">
      <text>
        <r>
          <rPr>
            <b/>
            <sz val="9"/>
            <color indexed="81"/>
            <rFont val="宋体"/>
            <family val="3"/>
            <charset val="134"/>
          </rPr>
          <t>立项申请表中获取</t>
        </r>
        <r>
          <rPr>
            <sz val="9"/>
            <color indexed="81"/>
            <rFont val="Tahoma"/>
            <family val="2"/>
          </rPr>
          <t xml:space="preserve">
</t>
        </r>
      </text>
    </comment>
  </commentList>
</comments>
</file>

<file path=xl/comments2.xml><?xml version="1.0" encoding="utf-8"?>
<comments xmlns="http://schemas.openxmlformats.org/spreadsheetml/2006/main">
  <authors>
    <author>作者</author>
    <author>gta</author>
  </authors>
  <commentList>
    <comment ref="D3" authorId="0">
      <text>
        <r>
          <rPr>
            <b/>
            <sz val="9"/>
            <color indexed="81"/>
            <rFont val="宋体"/>
            <family val="3"/>
            <charset val="134"/>
          </rPr>
          <t>EPG:</t>
        </r>
        <r>
          <rPr>
            <sz val="9"/>
            <color indexed="81"/>
            <rFont val="宋体"/>
            <family val="3"/>
            <charset val="134"/>
          </rPr>
          <t xml:space="preserve">
最晚交付时间=计划工期+最大偏差天数</t>
        </r>
      </text>
    </comment>
    <comment ref="D4" authorId="0">
      <text>
        <r>
          <rPr>
            <b/>
            <sz val="9"/>
            <color indexed="81"/>
            <rFont val="宋体"/>
            <family val="3"/>
            <charset val="134"/>
          </rPr>
          <t>EPG:</t>
        </r>
        <r>
          <rPr>
            <sz val="9"/>
            <color indexed="81"/>
            <rFont val="宋体"/>
            <family val="3"/>
            <charset val="134"/>
          </rPr>
          <t xml:space="preserve">
的估算结果。即估算表中项目预计开始日期到项目预计结束日期的工作日数。</t>
        </r>
      </text>
    </comment>
    <comment ref="D5" authorId="0">
      <text>
        <r>
          <rPr>
            <b/>
            <sz val="9"/>
            <color indexed="81"/>
            <rFont val="宋体"/>
            <family val="3"/>
            <charset val="134"/>
          </rPr>
          <t>EPG:</t>
        </r>
        <r>
          <rPr>
            <sz val="9"/>
            <color indexed="81"/>
            <rFont val="宋体"/>
            <family val="3"/>
            <charset val="134"/>
          </rPr>
          <t xml:space="preserve">
1.在进度偏差的优先级不是最高的前提下，参照进度偏差率在组织级QPPO中的均值到上限之间进行选取设定（偏差天数=计划天数*所选定的进度偏差率）
2.如果进度偏差优先级高，客户有交付日期要求，则根据估算结果（预计结束日期）和要求的交付日期的偏差确定</t>
        </r>
      </text>
    </comment>
    <comment ref="D6" authorId="1">
      <text>
        <r>
          <rPr>
            <b/>
            <sz val="9"/>
            <color indexed="81"/>
            <rFont val="宋体"/>
            <family val="3"/>
            <charset val="134"/>
          </rPr>
          <t>gta:</t>
        </r>
        <r>
          <rPr>
            <sz val="9"/>
            <color indexed="81"/>
            <rFont val="宋体"/>
            <family val="3"/>
            <charset val="134"/>
          </rPr>
          <t xml:space="preserve">
1. 在进度偏差的优先级不是最高的前提下，参照进度偏差率在组织级QPPO中的均值到上限之间进行选取设定
2.如果进度偏差优先级高，根据客户要求确定的进度偏差天数，则进度偏差率=进度偏差天数/计划工期。</t>
        </r>
      </text>
    </comment>
    <comment ref="D7" authorId="1">
      <text>
        <r>
          <rPr>
            <b/>
            <sz val="9"/>
            <color indexed="81"/>
            <rFont val="宋体"/>
            <family val="3"/>
            <charset val="134"/>
          </rPr>
          <t>gta:</t>
        </r>
        <r>
          <rPr>
            <sz val="9"/>
            <color indexed="81"/>
            <rFont val="宋体"/>
            <family val="3"/>
            <charset val="134"/>
          </rPr>
          <t xml:space="preserve">
来源于估算表“项目总工作量（人天）”</t>
        </r>
      </text>
    </comment>
    <comment ref="D8" authorId="0">
      <text>
        <r>
          <rPr>
            <b/>
            <sz val="9"/>
            <color indexed="81"/>
            <rFont val="宋体"/>
            <family val="3"/>
            <charset val="134"/>
          </rPr>
          <t>EPG:</t>
        </r>
        <r>
          <rPr>
            <sz val="9"/>
            <color indexed="81"/>
            <rFont val="宋体"/>
            <family val="3"/>
            <charset val="134"/>
          </rPr>
          <t xml:space="preserve">
生产率=估算的SFP/估算计划工作量</t>
        </r>
      </text>
    </comment>
    <comment ref="D9" authorId="0">
      <text>
        <r>
          <rPr>
            <b/>
            <sz val="9"/>
            <color indexed="81"/>
            <rFont val="宋体"/>
            <family val="3"/>
            <charset val="134"/>
          </rPr>
          <t>EPG:请先计算测试加权缺陷数和验收加权缺陷数</t>
        </r>
        <r>
          <rPr>
            <sz val="9"/>
            <color indexed="81"/>
            <rFont val="宋体"/>
            <family val="3"/>
            <charset val="134"/>
          </rPr>
          <t xml:space="preserve">
由设定的目标返算出遗留缺陷数（遗留缺陷数=设定的遗留缺陷率的目标值*（验收缺陷加权数+测试加权数））</t>
        </r>
      </text>
    </comment>
    <comment ref="D10" authorId="0">
      <text>
        <r>
          <rPr>
            <b/>
            <sz val="9"/>
            <color indexed="81"/>
            <rFont val="宋体"/>
            <family val="3"/>
            <charset val="134"/>
          </rPr>
          <t>EPG:</t>
        </r>
        <r>
          <rPr>
            <sz val="9"/>
            <color indexed="81"/>
            <rFont val="宋体"/>
            <family val="3"/>
            <charset val="134"/>
          </rPr>
          <t xml:space="preserve">
1.由设定的目标返算出测试缺陷数（测试缺陷数=设定的测试缺陷加权密度的目标值*计划的SFP）
2.设定的测试缺陷加权密度的目标值，参照测试缺陷加权密度在组织级QPPO中的均值到上限之间进行选取设定
3.若已经明确了测试的执行方案，则选取对应测试方案下的测试缺陷加权密度，否则选择总体的测试缺陷加权密度</t>
        </r>
      </text>
    </comment>
    <comment ref="D11" authorId="0">
      <text>
        <r>
          <rPr>
            <b/>
            <sz val="9"/>
            <color indexed="81"/>
            <rFont val="宋体"/>
            <family val="3"/>
            <charset val="134"/>
          </rPr>
          <t>EPG:</t>
        </r>
        <r>
          <rPr>
            <sz val="9"/>
            <color indexed="81"/>
            <rFont val="宋体"/>
            <family val="3"/>
            <charset val="134"/>
          </rPr>
          <t xml:space="preserve">
1. 由设定的目标返算出测试缺陷数（验收数=设定的验收缺陷加权密度的目标值*计划的SFP）
2. 设定的验收缺陷加权密度的目标值，参照验收缺陷加权密度在组织级QPPO中的均值到上限之间进行选取设定</t>
        </r>
      </text>
    </comment>
  </commentList>
</comments>
</file>

<file path=xl/comments3.xml><?xml version="1.0" encoding="utf-8"?>
<comments xmlns="http://schemas.openxmlformats.org/spreadsheetml/2006/main">
  <authors>
    <author>作者</author>
    <author>gta</author>
  </authors>
  <commentList>
    <comment ref="A1" authorId="0">
      <text>
        <r>
          <rPr>
            <sz val="9"/>
            <color indexed="81"/>
            <rFont val="宋体"/>
            <family val="3"/>
            <charset val="134"/>
          </rPr>
          <t>PPM-版本号</t>
        </r>
      </text>
    </comment>
    <comment ref="A4" authorId="0">
      <text>
        <r>
          <rPr>
            <b/>
            <sz val="9"/>
            <color indexed="81"/>
            <rFont val="宋体"/>
            <family val="3"/>
            <charset val="134"/>
          </rPr>
          <t>作者:</t>
        </r>
        <r>
          <rPr>
            <sz val="9"/>
            <color indexed="81"/>
            <rFont val="宋体"/>
            <family val="3"/>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T21" authorId="1">
      <text>
        <r>
          <rPr>
            <b/>
            <sz val="9"/>
            <color indexed="81"/>
            <rFont val="宋体"/>
            <family val="3"/>
            <charset val="134"/>
          </rPr>
          <t>gta:</t>
        </r>
        <r>
          <rPr>
            <sz val="9"/>
            <color indexed="81"/>
            <rFont val="宋体"/>
            <family val="3"/>
            <charset val="134"/>
          </rPr>
          <t xml:space="preserve">
阶段工期/项目SFP</t>
        </r>
      </text>
    </comment>
    <comment ref="V21" authorId="1">
      <text>
        <r>
          <rPr>
            <b/>
            <sz val="9"/>
            <color indexed="81"/>
            <rFont val="宋体"/>
            <family val="3"/>
            <charset val="134"/>
          </rPr>
          <t>gta:</t>
        </r>
        <r>
          <rPr>
            <sz val="9"/>
            <color indexed="81"/>
            <rFont val="宋体"/>
            <family val="3"/>
            <charset val="134"/>
          </rPr>
          <t xml:space="preserve">
重叠工期/项目SFP</t>
        </r>
      </text>
    </comment>
    <comment ref="X21" authorId="1">
      <text>
        <r>
          <rPr>
            <b/>
            <sz val="9"/>
            <color indexed="81"/>
            <rFont val="宋体"/>
            <family val="3"/>
            <charset val="134"/>
          </rPr>
          <t>gta:</t>
        </r>
        <r>
          <rPr>
            <sz val="9"/>
            <color indexed="81"/>
            <rFont val="宋体"/>
            <family val="3"/>
            <charset val="134"/>
          </rPr>
          <t xml:space="preserve">
阶段实际投入工作量/项目SFP</t>
        </r>
      </text>
    </comment>
    <comment ref="AK21" authorId="0">
      <text>
        <r>
          <rPr>
            <b/>
            <sz val="9"/>
            <color indexed="81"/>
            <rFont val="宋体"/>
            <family val="3"/>
            <charset val="134"/>
          </rPr>
          <t>（遗留缺陷率） 验收的密度＝验收＋测试阶机的缺陷密度</t>
        </r>
        <r>
          <rPr>
            <sz val="9"/>
            <color indexed="81"/>
            <rFont val="宋体"/>
            <family val="3"/>
            <charset val="134"/>
          </rPr>
          <t xml:space="preserve">
</t>
        </r>
      </text>
    </comment>
    <comment ref="B26" authorId="0">
      <text>
        <r>
          <rPr>
            <sz val="9"/>
            <color indexed="81"/>
            <rFont val="宋体"/>
            <family val="3"/>
            <charset val="134"/>
          </rPr>
          <t xml:space="preserve">设计文档被裁减
</t>
        </r>
      </text>
    </comment>
    <comment ref="AC26" authorId="1">
      <text>
        <r>
          <rPr>
            <b/>
            <sz val="9"/>
            <color indexed="81"/>
            <rFont val="宋体"/>
            <family val="3"/>
            <charset val="134"/>
          </rPr>
          <t>gta:</t>
        </r>
        <r>
          <rPr>
            <sz val="9"/>
            <color indexed="81"/>
            <rFont val="宋体"/>
            <family val="3"/>
            <charset val="134"/>
          </rPr>
          <t xml:space="preserve">
填写代码走查的实际缺陷密度</t>
        </r>
      </text>
    </comment>
    <comment ref="AC27" authorId="1">
      <text>
        <r>
          <rPr>
            <b/>
            <sz val="9"/>
            <color indexed="81"/>
            <rFont val="宋体"/>
            <family val="3"/>
            <charset val="134"/>
          </rPr>
          <t>gta:</t>
        </r>
        <r>
          <rPr>
            <sz val="9"/>
            <color indexed="81"/>
            <rFont val="宋体"/>
            <family val="3"/>
            <charset val="134"/>
          </rPr>
          <t xml:space="preserve">
填写实际的测试用例密度</t>
        </r>
      </text>
    </comment>
    <comment ref="AE27" authorId="1">
      <text>
        <r>
          <rPr>
            <b/>
            <sz val="9"/>
            <color indexed="81"/>
            <rFont val="宋体"/>
            <family val="3"/>
            <charset val="134"/>
          </rPr>
          <t>gta:</t>
        </r>
        <r>
          <rPr>
            <sz val="9"/>
            <color indexed="81"/>
            <rFont val="宋体"/>
            <family val="3"/>
            <charset val="134"/>
          </rPr>
          <t xml:space="preserve">
填写实际测试执行轮次</t>
        </r>
      </text>
    </comment>
    <comment ref="AC28" authorId="1">
      <text>
        <r>
          <rPr>
            <b/>
            <sz val="9"/>
            <color indexed="81"/>
            <rFont val="宋体"/>
            <family val="3"/>
            <charset val="134"/>
          </rPr>
          <t>gta:</t>
        </r>
        <r>
          <rPr>
            <sz val="9"/>
            <color indexed="81"/>
            <rFont val="宋体"/>
            <family val="3"/>
            <charset val="134"/>
          </rPr>
          <t xml:space="preserve">
填写验收的实际缺陷密度</t>
        </r>
      </text>
    </comment>
    <comment ref="AE28" authorId="1">
      <text>
        <r>
          <rPr>
            <b/>
            <sz val="9"/>
            <color indexed="81"/>
            <rFont val="宋体"/>
            <family val="3"/>
            <charset val="134"/>
          </rPr>
          <t>gta:</t>
        </r>
        <r>
          <rPr>
            <sz val="9"/>
            <color indexed="81"/>
            <rFont val="宋体"/>
            <family val="3"/>
            <charset val="134"/>
          </rPr>
          <t xml:space="preserve">
填写验收阶段遗留缺陷密度</t>
        </r>
      </text>
    </comment>
    <comment ref="B36" authorId="0">
      <text>
        <r>
          <rPr>
            <b/>
            <sz val="9"/>
            <color indexed="81"/>
            <rFont val="宋体"/>
            <family val="3"/>
            <charset val="134"/>
          </rPr>
          <t>功能+性能测试用例</t>
        </r>
        <r>
          <rPr>
            <sz val="9"/>
            <color indexed="81"/>
            <rFont val="宋体"/>
            <family val="3"/>
            <charset val="134"/>
          </rPr>
          <t xml:space="preserve">
(功能100%+性能100%+轮次3-6)</t>
        </r>
      </text>
    </comment>
    <comment ref="B37" authorId="0">
      <text>
        <r>
          <rPr>
            <b/>
            <sz val="9"/>
            <color indexed="81"/>
            <rFont val="宋体"/>
            <family val="3"/>
            <charset val="134"/>
          </rPr>
          <t>作者:</t>
        </r>
        <r>
          <rPr>
            <sz val="9"/>
            <color indexed="81"/>
            <rFont val="宋体"/>
            <family val="3"/>
            <charset val="134"/>
          </rPr>
          <t xml:space="preserve">
(功能((100%)+轮次(3))</t>
        </r>
      </text>
    </comment>
  </commentList>
</comments>
</file>

<file path=xl/comments4.xml><?xml version="1.0" encoding="utf-8"?>
<comments xmlns="http://schemas.openxmlformats.org/spreadsheetml/2006/main">
  <authors>
    <author>gta</author>
  </authors>
  <commentList>
    <comment ref="C3" authorId="0">
      <text>
        <r>
          <rPr>
            <b/>
            <sz val="9"/>
            <color indexed="81"/>
            <rFont val="宋体"/>
            <family val="3"/>
            <charset val="134"/>
          </rPr>
          <t>gta:</t>
        </r>
        <r>
          <rPr>
            <sz val="9"/>
            <color indexed="81"/>
            <rFont val="宋体"/>
            <family val="3"/>
            <charset val="134"/>
          </rPr>
          <t xml:space="preserve">
数据来源于执行本次预测时，估算表中的SFP数。</t>
        </r>
      </text>
    </comment>
    <comment ref="D3" authorId="0">
      <text>
        <r>
          <rPr>
            <b/>
            <sz val="9"/>
            <color indexed="81"/>
            <rFont val="宋体"/>
            <family val="3"/>
            <charset val="134"/>
          </rPr>
          <t>gta:</t>
        </r>
        <r>
          <rPr>
            <sz val="9"/>
            <color indexed="81"/>
            <rFont val="宋体"/>
            <family val="3"/>
            <charset val="134"/>
          </rPr>
          <t xml:space="preserve">
数据来源于执行本次预测时，估算表中的项目总工作量（人天）。</t>
        </r>
      </text>
    </comment>
    <comment ref="X3" authorId="0">
      <text>
        <r>
          <rPr>
            <b/>
            <sz val="9"/>
            <color indexed="81"/>
            <rFont val="宋体"/>
            <family val="3"/>
            <charset val="134"/>
          </rPr>
          <t>gta:</t>
        </r>
        <r>
          <rPr>
            <sz val="9"/>
            <color indexed="81"/>
            <rFont val="宋体"/>
            <family val="3"/>
            <charset val="134"/>
          </rPr>
          <t xml:space="preserve">
对预测结果进行分析：
1，置信度小于90%时，分析置信度的原因及措施。
2，置信度大于90%时，分析保证达到或提高置信度的措施。</t>
        </r>
      </text>
    </comment>
  </commentList>
</comments>
</file>

<file path=xl/comments5.xml><?xml version="1.0" encoding="utf-8"?>
<comments xmlns="http://schemas.openxmlformats.org/spreadsheetml/2006/main">
  <authors>
    <author>gta</author>
    <author>作者</author>
  </authors>
  <commentList>
    <comment ref="C8" authorId="0">
      <text>
        <r>
          <rPr>
            <b/>
            <sz val="9"/>
            <color indexed="81"/>
            <rFont val="宋体"/>
            <family val="3"/>
            <charset val="134"/>
          </rPr>
          <t>gta:</t>
        </r>
        <r>
          <rPr>
            <sz val="9"/>
            <color indexed="81"/>
            <rFont val="宋体"/>
            <family val="3"/>
            <charset val="134"/>
          </rPr>
          <t xml:space="preserve">
即客户需求说明书中的CR和NCR个数</t>
        </r>
      </text>
    </comment>
    <comment ref="D8" authorId="0">
      <text>
        <r>
          <rPr>
            <b/>
            <sz val="9"/>
            <color indexed="81"/>
            <rFont val="宋体"/>
            <family val="3"/>
            <charset val="134"/>
          </rPr>
          <t>gta:</t>
        </r>
        <r>
          <rPr>
            <sz val="9"/>
            <color indexed="81"/>
            <rFont val="宋体"/>
            <family val="3"/>
            <charset val="134"/>
          </rPr>
          <t xml:space="preserve">
变更影响的客户需求说明书的CR和NCR个数</t>
        </r>
      </text>
    </comment>
    <comment ref="H8" authorId="1">
      <text>
        <r>
          <rPr>
            <b/>
            <sz val="9"/>
            <color indexed="81"/>
            <rFont val="宋体"/>
            <family val="3"/>
            <charset val="134"/>
          </rPr>
          <t>作者:</t>
        </r>
        <r>
          <rPr>
            <sz val="9"/>
            <color indexed="81"/>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15" authorId="0">
      <text>
        <r>
          <rPr>
            <b/>
            <sz val="9"/>
            <color indexed="81"/>
            <rFont val="宋体"/>
            <family val="3"/>
            <charset val="134"/>
          </rPr>
          <t>gta:</t>
        </r>
        <r>
          <rPr>
            <sz val="9"/>
            <color indexed="81"/>
            <rFont val="宋体"/>
            <family val="3"/>
            <charset val="134"/>
          </rPr>
          <t xml:space="preserve">
等于需求阶段初始需求总数，用于计算项目整体需求稳定度</t>
        </r>
      </text>
    </comment>
    <comment ref="C20" authorId="0">
      <text>
        <r>
          <rPr>
            <b/>
            <sz val="9"/>
            <color indexed="81"/>
            <rFont val="宋体"/>
            <family val="3"/>
            <charset val="134"/>
          </rPr>
          <t>gta:</t>
        </r>
        <r>
          <rPr>
            <sz val="9"/>
            <color indexed="81"/>
            <rFont val="宋体"/>
            <family val="3"/>
            <charset val="134"/>
          </rPr>
          <t xml:space="preserve">
即需求规格说明书中的FR和NFR个数</t>
        </r>
      </text>
    </comment>
    <comment ref="D20" authorId="0">
      <text>
        <r>
          <rPr>
            <b/>
            <sz val="9"/>
            <color indexed="81"/>
            <rFont val="宋体"/>
            <family val="3"/>
            <charset val="134"/>
          </rPr>
          <t>gta:</t>
        </r>
        <r>
          <rPr>
            <sz val="9"/>
            <color indexed="81"/>
            <rFont val="宋体"/>
            <family val="3"/>
            <charset val="134"/>
          </rPr>
          <t xml:space="preserve">
变更影响的需求规格说明书的FR和NFR个数</t>
        </r>
      </text>
    </comment>
    <comment ref="C27" authorId="0">
      <text>
        <r>
          <rPr>
            <b/>
            <sz val="9"/>
            <color indexed="81"/>
            <rFont val="宋体"/>
            <family val="3"/>
            <charset val="134"/>
          </rPr>
          <t>gta:</t>
        </r>
        <r>
          <rPr>
            <sz val="9"/>
            <color indexed="81"/>
            <rFont val="宋体"/>
            <family val="3"/>
            <charset val="134"/>
          </rPr>
          <t xml:space="preserve">
等于需求阶段初始需求总数，用于计算项目整体需求稳定度</t>
        </r>
      </text>
    </comment>
  </commentList>
</comments>
</file>

<file path=xl/comments6.xml><?xml version="1.0" encoding="utf-8"?>
<comments xmlns="http://schemas.openxmlformats.org/spreadsheetml/2006/main">
  <authors>
    <author>作者</author>
    <author>gta</author>
  </authors>
  <commentList>
    <comment ref="R6" authorId="0">
      <text>
        <r>
          <rPr>
            <b/>
            <sz val="9"/>
            <color indexed="81"/>
            <rFont val="宋体"/>
            <family val="3"/>
            <charset val="134"/>
          </rPr>
          <t>项目组项目情况调整工作量配比。但比例需与估算表保持一致</t>
        </r>
      </text>
    </comment>
    <comment ref="D7" authorId="0">
      <text>
        <r>
          <rPr>
            <sz val="9"/>
            <color indexed="81"/>
            <rFont val="宋体"/>
            <family val="3"/>
            <charset val="134"/>
          </rPr>
          <t>来源于工时系统</t>
        </r>
        <r>
          <rPr>
            <sz val="9"/>
            <color indexed="81"/>
            <rFont val="Tahoma"/>
            <family val="2"/>
          </rPr>
          <t xml:space="preserve">
</t>
        </r>
      </text>
    </comment>
    <comment ref="F7" authorId="1">
      <text>
        <r>
          <rPr>
            <b/>
            <sz val="9"/>
            <color indexed="81"/>
            <rFont val="宋体"/>
            <family val="3"/>
            <charset val="134"/>
          </rPr>
          <t>gta:</t>
        </r>
        <r>
          <rPr>
            <sz val="9"/>
            <color indexed="81"/>
            <rFont val="宋体"/>
            <family val="3"/>
            <charset val="134"/>
          </rPr>
          <t xml:space="preserve">
来源于工时系统</t>
        </r>
      </text>
    </comment>
    <comment ref="H7" authorId="1">
      <text>
        <r>
          <rPr>
            <b/>
            <sz val="9"/>
            <color indexed="81"/>
            <rFont val="宋体"/>
            <family val="3"/>
            <charset val="134"/>
          </rPr>
          <t>gta:</t>
        </r>
        <r>
          <rPr>
            <sz val="9"/>
            <color indexed="81"/>
            <rFont val="宋体"/>
            <family val="3"/>
            <charset val="134"/>
          </rPr>
          <t xml:space="preserve">
来源于工时系统</t>
        </r>
      </text>
    </comment>
    <comment ref="J7" authorId="1">
      <text>
        <r>
          <rPr>
            <b/>
            <sz val="9"/>
            <color indexed="81"/>
            <rFont val="宋体"/>
            <family val="3"/>
            <charset val="134"/>
          </rPr>
          <t>gta:</t>
        </r>
        <r>
          <rPr>
            <sz val="9"/>
            <color indexed="81"/>
            <rFont val="宋体"/>
            <family val="3"/>
            <charset val="134"/>
          </rPr>
          <t xml:space="preserve">
来源于工时系统</t>
        </r>
      </text>
    </comment>
    <comment ref="L7" authorId="1">
      <text>
        <r>
          <rPr>
            <b/>
            <sz val="9"/>
            <color indexed="81"/>
            <rFont val="宋体"/>
            <family val="3"/>
            <charset val="134"/>
          </rPr>
          <t>gta:</t>
        </r>
        <r>
          <rPr>
            <sz val="9"/>
            <color indexed="81"/>
            <rFont val="宋体"/>
            <family val="3"/>
            <charset val="134"/>
          </rPr>
          <t xml:space="preserve">
来源于工时系统</t>
        </r>
      </text>
    </comment>
    <comment ref="M7" authorId="0">
      <text>
        <r>
          <rPr>
            <b/>
            <sz val="9"/>
            <color indexed="81"/>
            <rFont val="宋体"/>
            <family val="3"/>
            <charset val="134"/>
          </rPr>
          <t>从估算表（确定性估算</t>
        </r>
        <r>
          <rPr>
            <b/>
            <sz val="9"/>
            <color indexed="81"/>
            <rFont val="宋体"/>
            <family val="3"/>
            <charset val="134"/>
          </rPr>
          <t>）中获取每个活动的的工作量</t>
        </r>
        <r>
          <rPr>
            <sz val="9"/>
            <color indexed="81"/>
            <rFont val="Tahoma"/>
            <family val="2"/>
          </rPr>
          <t xml:space="preserve">
</t>
        </r>
      </text>
    </comment>
  </commentList>
</comments>
</file>

<file path=xl/comments7.xml><?xml version="1.0" encoding="utf-8"?>
<comments xmlns="http://schemas.openxmlformats.org/spreadsheetml/2006/main">
  <authors>
    <author>gta</author>
  </authors>
  <commentList>
    <comment ref="D6" authorId="0">
      <text>
        <r>
          <rPr>
            <b/>
            <sz val="9"/>
            <color indexed="81"/>
            <rFont val="宋体"/>
            <family val="3"/>
            <charset val="134"/>
          </rPr>
          <t>gta:</t>
        </r>
        <r>
          <rPr>
            <sz val="9"/>
            <color indexed="81"/>
            <rFont val="宋体"/>
            <family val="3"/>
            <charset val="134"/>
          </rPr>
          <t xml:space="preserve">
数据来源于确定性估算表中“复用的功能点总数(SFP)”</t>
        </r>
      </text>
    </comment>
    <comment ref="B28" authorId="0">
      <text>
        <r>
          <rPr>
            <b/>
            <sz val="9"/>
            <color indexed="81"/>
            <rFont val="宋体"/>
            <family val="3"/>
            <charset val="134"/>
          </rPr>
          <t>gta:</t>
        </r>
        <r>
          <rPr>
            <sz val="9"/>
            <color indexed="81"/>
            <rFont val="宋体"/>
            <family val="3"/>
            <charset val="134"/>
          </rPr>
          <t xml:space="preserve">
数据来源于估算表“技术复杂度评估表”</t>
        </r>
      </text>
    </comment>
  </commentList>
</comments>
</file>

<file path=xl/comments8.xml><?xml version="1.0" encoding="utf-8"?>
<comments xmlns="http://schemas.openxmlformats.org/spreadsheetml/2006/main">
  <authors>
    <author>gta</author>
  </authors>
  <commentList>
    <comment ref="K5" authorId="0">
      <text>
        <r>
          <rPr>
            <b/>
            <sz val="9"/>
            <color indexed="81"/>
            <rFont val="宋体"/>
            <family val="3"/>
            <charset val="134"/>
          </rPr>
          <t>gta:</t>
        </r>
        <r>
          <rPr>
            <sz val="9"/>
            <color indexed="81"/>
            <rFont val="宋体"/>
            <family val="3"/>
            <charset val="134"/>
          </rPr>
          <t xml:space="preserve">
当阶段偏差或累计偏差其中之一出现偏差超过20%时，则必须进行偏差原因分析及采取相应的措施</t>
        </r>
      </text>
    </comment>
  </commentList>
</comments>
</file>

<file path=xl/comments9.xml><?xml version="1.0" encoding="utf-8"?>
<comments xmlns="http://schemas.openxmlformats.org/spreadsheetml/2006/main">
  <authors>
    <author>gta</author>
  </authors>
  <commentList>
    <comment ref="A5" authorId="0">
      <text>
        <r>
          <rPr>
            <b/>
            <sz val="9"/>
            <color indexed="81"/>
            <rFont val="宋体"/>
            <family val="3"/>
            <charset val="134"/>
          </rPr>
          <t>gta:</t>
        </r>
        <r>
          <rPr>
            <sz val="9"/>
            <color indexed="81"/>
            <rFont val="宋体"/>
            <family val="3"/>
            <charset val="134"/>
          </rPr>
          <t xml:space="preserve">
每组织一次评审就记为一次，不区分正式评审和非正式评审</t>
        </r>
      </text>
    </comment>
    <comment ref="J5" authorId="0">
      <text>
        <r>
          <rPr>
            <b/>
            <sz val="9"/>
            <color indexed="81"/>
            <rFont val="宋体"/>
            <family val="3"/>
            <charset val="134"/>
          </rPr>
          <t>gta:</t>
        </r>
        <r>
          <rPr>
            <sz val="9"/>
            <color indexed="81"/>
            <rFont val="宋体"/>
            <family val="3"/>
            <charset val="134"/>
          </rPr>
          <t xml:space="preserve">
文档页数仅统计正文的页数即可</t>
        </r>
      </text>
    </comment>
    <comment ref="A28" authorId="0">
      <text>
        <r>
          <rPr>
            <b/>
            <sz val="9"/>
            <color indexed="81"/>
            <rFont val="宋体"/>
            <family val="3"/>
            <charset val="134"/>
          </rPr>
          <t>gta:</t>
        </r>
        <r>
          <rPr>
            <sz val="9"/>
            <color indexed="81"/>
            <rFont val="宋体"/>
            <family val="3"/>
            <charset val="134"/>
          </rPr>
          <t xml:space="preserve">
每组织一次评审就记为一次，不区分正式评审和非正式评审</t>
        </r>
      </text>
    </comment>
    <comment ref="J28" authorId="0">
      <text>
        <r>
          <rPr>
            <b/>
            <sz val="9"/>
            <color indexed="81"/>
            <rFont val="宋体"/>
            <family val="3"/>
            <charset val="134"/>
          </rPr>
          <t>gta:</t>
        </r>
        <r>
          <rPr>
            <sz val="9"/>
            <color indexed="81"/>
            <rFont val="宋体"/>
            <family val="3"/>
            <charset val="134"/>
          </rPr>
          <t xml:space="preserve">
文档页数仅统计正文的页数即可</t>
        </r>
      </text>
    </comment>
    <comment ref="A54" authorId="0">
      <text>
        <r>
          <rPr>
            <b/>
            <sz val="9"/>
            <color indexed="81"/>
            <rFont val="宋体"/>
            <family val="3"/>
            <charset val="134"/>
          </rPr>
          <t>gta:</t>
        </r>
        <r>
          <rPr>
            <sz val="9"/>
            <color indexed="81"/>
            <rFont val="宋体"/>
            <family val="3"/>
            <charset val="134"/>
          </rPr>
          <t xml:space="preserve">
每组织一次评审就记为一次，不区分正式评审和非正式评审</t>
        </r>
      </text>
    </comment>
    <comment ref="J54" authorId="0">
      <text>
        <r>
          <rPr>
            <b/>
            <sz val="9"/>
            <color indexed="81"/>
            <rFont val="宋体"/>
            <family val="3"/>
            <charset val="134"/>
          </rPr>
          <t>gta:</t>
        </r>
        <r>
          <rPr>
            <sz val="9"/>
            <color indexed="81"/>
            <rFont val="宋体"/>
            <family val="3"/>
            <charset val="134"/>
          </rPr>
          <t xml:space="preserve">
文档页数仅统计正文的页数即可</t>
        </r>
      </text>
    </comment>
    <comment ref="A81" authorId="0">
      <text>
        <r>
          <rPr>
            <b/>
            <sz val="9"/>
            <color indexed="81"/>
            <rFont val="宋体"/>
            <family val="3"/>
            <charset val="134"/>
          </rPr>
          <t>gta:</t>
        </r>
        <r>
          <rPr>
            <sz val="9"/>
            <color indexed="81"/>
            <rFont val="宋体"/>
            <family val="3"/>
            <charset val="134"/>
          </rPr>
          <t xml:space="preserve">
每组织一次评审就记为一次，不区分正式评审和非正式评审</t>
        </r>
      </text>
    </comment>
    <comment ref="A106" authorId="0">
      <text>
        <r>
          <rPr>
            <b/>
            <sz val="9"/>
            <color indexed="81"/>
            <rFont val="宋体"/>
            <family val="3"/>
            <charset val="134"/>
          </rPr>
          <t>gta:</t>
        </r>
        <r>
          <rPr>
            <sz val="9"/>
            <color indexed="81"/>
            <rFont val="宋体"/>
            <family val="3"/>
            <charset val="134"/>
          </rPr>
          <t xml:space="preserve">
每组织一次走查就记为一次</t>
        </r>
      </text>
    </comment>
  </commentList>
</comments>
</file>

<file path=xl/comments10.xml><?xml version="1.0" encoding="utf-8"?>
<comments xmlns="http://schemas.openxmlformats.org/spreadsheetml/2006/main">
  <authors>
    <author>Windows 用户</author>
    <author>gta</author>
  </authors>
  <commentList>
    <comment ref="I17" authorId="0">
      <text>
        <r>
          <rPr>
            <b/>
            <sz val="9"/>
            <color indexed="81"/>
            <rFont val="宋体"/>
            <family val="3"/>
            <charset val="134"/>
          </rPr>
          <t>EPG:</t>
        </r>
        <r>
          <rPr>
            <sz val="9"/>
            <color indexed="81"/>
            <rFont val="宋体"/>
            <family val="3"/>
            <charset val="134"/>
          </rPr>
          <t xml:space="preserve">
此处取测试报告中遗留缺陷数</t>
        </r>
      </text>
    </comment>
    <comment ref="K17" authorId="1">
      <text>
        <r>
          <rPr>
            <b/>
            <sz val="9"/>
            <color indexed="81"/>
            <rFont val="宋体"/>
            <family val="3"/>
            <charset val="134"/>
          </rPr>
          <t>gta:</t>
        </r>
        <r>
          <rPr>
            <sz val="9"/>
            <color indexed="81"/>
            <rFont val="宋体"/>
            <family val="3"/>
            <charset val="134"/>
          </rPr>
          <t xml:space="preserve">
遗留缺陷率</t>
        </r>
      </text>
    </comment>
    <comment ref="G34" authorId="1">
      <text>
        <r>
          <rPr>
            <b/>
            <sz val="9"/>
            <color indexed="81"/>
            <rFont val="宋体"/>
            <family val="3"/>
            <charset val="134"/>
          </rPr>
          <t>gta:</t>
        </r>
        <r>
          <rPr>
            <sz val="9"/>
            <color indexed="81"/>
            <rFont val="宋体"/>
            <family val="3"/>
            <charset val="134"/>
          </rPr>
          <t xml:space="preserve">
测试轮次定义：成功转测试的轮次，包括回归测试</t>
        </r>
      </text>
    </comment>
  </commentList>
</comments>
</file>

<file path=xl/comments11.xml><?xml version="1.0" encoding="utf-8"?>
<comments xmlns="http://schemas.openxmlformats.org/spreadsheetml/2006/main">
  <authors>
    <author>作者</author>
  </authors>
  <commentList>
    <comment ref="Q3" authorId="0">
      <text>
        <r>
          <rPr>
            <b/>
            <sz val="9"/>
            <color indexed="81"/>
            <rFont val="宋体"/>
            <family val="3"/>
            <charset val="134"/>
          </rPr>
          <t>其他角色或管理员</t>
        </r>
      </text>
    </comment>
    <comment ref="F47" authorId="0">
      <text>
        <r>
          <rPr>
            <sz val="9"/>
            <color indexed="81"/>
            <rFont val="宋体"/>
            <family val="3"/>
            <charset val="134"/>
          </rPr>
          <t xml:space="preserve">从A项目调到B项目
</t>
        </r>
      </text>
    </comment>
  </commentList>
</comments>
</file>

<file path=xl/sharedStrings.xml><?xml version="1.0" encoding="utf-8"?>
<sst xmlns="http://schemas.openxmlformats.org/spreadsheetml/2006/main" count="1600" uniqueCount="978">
  <si>
    <t>总体进度偏差</t>
    <phoneticPr fontId="5" type="noConversion"/>
  </si>
  <si>
    <t>需求阶段</t>
    <phoneticPr fontId="5" type="noConversion"/>
  </si>
  <si>
    <t>N/A</t>
  </si>
  <si>
    <t>-</t>
  </si>
  <si>
    <t>设计阶段</t>
    <phoneticPr fontId="5" type="noConversion"/>
  </si>
  <si>
    <t>阶段单位规模的重叠工期（向下）</t>
  </si>
  <si>
    <t>测试阶段</t>
    <phoneticPr fontId="5" type="noConversion"/>
  </si>
  <si>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</si>
  <si>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</si>
  <si>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</si>
  <si>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</si>
  <si>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</si>
  <si>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</si>
  <si>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</si>
  <si>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</si>
  <si>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</si>
  <si>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</si>
  <si>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</si>
  <si>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</si>
  <si>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420f52c2-b41f-4b27-a52a-cc0b293d1261</t>
    <phoneticPr fontId="4" type="noConversion"/>
  </si>
  <si>
    <t>项目度量计划</t>
    <phoneticPr fontId="5" type="noConversion"/>
  </si>
  <si>
    <t>项目目标</t>
    <phoneticPr fontId="5" type="noConversion"/>
  </si>
  <si>
    <t>优先级</t>
    <phoneticPr fontId="5" type="noConversion"/>
  </si>
  <si>
    <t>设定说明</t>
    <phoneticPr fontId="5" type="noConversion"/>
  </si>
  <si>
    <t>项目实际数据</t>
    <phoneticPr fontId="5" type="noConversion"/>
  </si>
  <si>
    <t>达成情况</t>
    <phoneticPr fontId="5" type="noConversion"/>
  </si>
  <si>
    <t>工期总目标（交付时间）</t>
    <phoneticPr fontId="5" type="noConversion"/>
  </si>
  <si>
    <t>基于客户要求\事业部的承诺基于管理层的要求设定\</t>
    <phoneticPr fontId="5" type="noConversion"/>
  </si>
  <si>
    <t>工期总目标(计划工期)</t>
    <phoneticPr fontId="5" type="noConversion"/>
  </si>
  <si>
    <t>基于组织的QPPO设定</t>
    <phoneticPr fontId="5" type="noConversion"/>
  </si>
  <si>
    <t>工期总目标(进度偏差天数)</t>
    <phoneticPr fontId="5" type="noConversion"/>
  </si>
  <si>
    <t>高</t>
  </si>
  <si>
    <t>工期总目标(进度偏差率)</t>
    <phoneticPr fontId="5" type="noConversion"/>
  </si>
  <si>
    <t>工作量总目标</t>
    <phoneticPr fontId="5" type="noConversion"/>
  </si>
  <si>
    <t>中</t>
  </si>
  <si>
    <t>效率总目标(生产率)</t>
    <phoneticPr fontId="5" type="noConversion"/>
  </si>
  <si>
    <t>质量总目标（遗留加权缺陷数）</t>
    <phoneticPr fontId="5" type="noConversion"/>
  </si>
  <si>
    <t>质量总目标（测试加权缺陷数）</t>
    <phoneticPr fontId="5" type="noConversion"/>
  </si>
  <si>
    <t>质量总目标（验收加权缺陷数）</t>
    <phoneticPr fontId="5" type="noConversion"/>
  </si>
  <si>
    <t>说明：</t>
    <phoneticPr fontId="5" type="noConversion"/>
  </si>
  <si>
    <t>1.目标的设置优先考虑内外部客户的要求，若无相关要求，则在组织级QPPO的范围内进行设定</t>
    <phoneticPr fontId="5" type="noConversion"/>
  </si>
  <si>
    <t>2.计划工期和计划工作量以预估算值进行设定，在确定性估算完成后，依据确定性估算的结果对目标进行调整</t>
    <phoneticPr fontId="5" type="noConversion"/>
  </si>
  <si>
    <t>3.得到内外部客户同意以及经过CCB审批通过的变更发生后，可以根据变更的结果对目标进行调整</t>
    <phoneticPr fontId="5" type="noConversion"/>
  </si>
  <si>
    <t>序号</t>
    <phoneticPr fontId="5" type="noConversion"/>
  </si>
  <si>
    <t>统计管理度量项(组织级的度量表)</t>
    <phoneticPr fontId="5" type="noConversion"/>
  </si>
  <si>
    <t>单位</t>
    <phoneticPr fontId="5" type="noConversion"/>
  </si>
  <si>
    <t>是否基线</t>
    <phoneticPr fontId="5" type="noConversion"/>
  </si>
  <si>
    <t>是否项目必选</t>
    <phoneticPr fontId="5" type="noConversion"/>
  </si>
  <si>
    <t>度量时机</t>
    <phoneticPr fontId="5" type="noConversion"/>
  </si>
  <si>
    <t>备注</t>
    <phoneticPr fontId="5" type="noConversion"/>
  </si>
  <si>
    <t>LOL</t>
    <phoneticPr fontId="5" type="noConversion"/>
  </si>
  <si>
    <t>OL</t>
    <phoneticPr fontId="5" type="noConversion"/>
  </si>
  <si>
    <t>U0L</t>
    <phoneticPr fontId="5" type="noConversion"/>
  </si>
  <si>
    <t>σ</t>
    <phoneticPr fontId="5" type="noConversion"/>
  </si>
  <si>
    <t>项目成员平均技能系数</t>
    <phoneticPr fontId="5" type="noConversion"/>
  </si>
  <si>
    <t>□观测项</t>
  </si>
  <si>
    <t>策划团队平均技能系数</t>
    <phoneticPr fontId="5" type="noConversion"/>
  </si>
  <si>
    <t>SFP/人天</t>
  </si>
  <si>
    <t>■基线</t>
  </si>
  <si>
    <t>■ 是</t>
  </si>
  <si>
    <t>项目结束</t>
  </si>
  <si>
    <t>%</t>
  </si>
  <si>
    <t>项目结束</t>
    <phoneticPr fontId="5" type="noConversion"/>
  </si>
  <si>
    <t>个/页</t>
  </si>
  <si>
    <t>客户需求评审活动结束时</t>
    <phoneticPr fontId="5" type="noConversion"/>
  </si>
  <si>
    <t>天/SFP</t>
  </si>
  <si>
    <t>立项/需求阶段活动时</t>
  </si>
  <si>
    <t>人天/SFP</t>
  </si>
  <si>
    <t>立项/需求活动时</t>
  </si>
  <si>
    <t>需求规格平生活动结束后</t>
    <phoneticPr fontId="5" type="noConversion"/>
  </si>
  <si>
    <t>设计阶段活动时</t>
  </si>
  <si>
    <t>设计阶段结束时</t>
  </si>
  <si>
    <t>设计阶段结束时</t>
    <phoneticPr fontId="5" type="noConversion"/>
  </si>
  <si>
    <t>系统设计评审活动结束后</t>
    <phoneticPr fontId="5" type="noConversion"/>
  </si>
  <si>
    <t>编码阶段活动时</t>
  </si>
  <si>
    <t>编码阶段结束时</t>
  </si>
  <si>
    <t>个/SFP</t>
  </si>
  <si>
    <t>代码走查评审活动结束后</t>
    <phoneticPr fontId="5" type="noConversion"/>
  </si>
  <si>
    <t>代码走查评审活动结束后</t>
  </si>
  <si>
    <t>条/SFP</t>
  </si>
  <si>
    <t>个/条</t>
  </si>
  <si>
    <t>测试阶段结束时</t>
    <phoneticPr fontId="5" type="noConversion"/>
  </si>
  <si>
    <t>测试阶段活动时</t>
  </si>
  <si>
    <t>测试阶段结束时</t>
  </si>
  <si>
    <t>次</t>
  </si>
  <si>
    <t>■ 是</t>
    <phoneticPr fontId="5" type="noConversion"/>
  </si>
  <si>
    <t>验收阶段活动时</t>
    <phoneticPr fontId="5" type="noConversion"/>
  </si>
  <si>
    <t>验收阶段结束时</t>
    <phoneticPr fontId="5" type="noConversion"/>
  </si>
  <si>
    <t>验收阶段结束时</t>
  </si>
  <si>
    <t>验收阶段活动时</t>
  </si>
  <si>
    <t>个/SFP</t>
    <phoneticPr fontId="5" type="noConversion"/>
  </si>
  <si>
    <t>■基线</t>
    <phoneticPr fontId="5" type="noConversion"/>
  </si>
  <si>
    <t>其它度量项</t>
    <phoneticPr fontId="5" type="noConversion"/>
  </si>
  <si>
    <t>技术复杂度</t>
    <phoneticPr fontId="5" type="noConversion"/>
  </si>
  <si>
    <t>业务知识符合度</t>
    <phoneticPr fontId="5" type="noConversion"/>
  </si>
  <si>
    <t>技能符合度</t>
    <phoneticPr fontId="5" type="noConversion"/>
  </si>
  <si>
    <t>复用率</t>
    <phoneticPr fontId="5" type="noConversion"/>
  </si>
  <si>
    <t>注：选择项目度量项请依据项目裁剪结果进行选择相对应的度量项。</t>
    <phoneticPr fontId="5" type="noConversion"/>
  </si>
  <si>
    <t>因子实际值</t>
  </si>
  <si>
    <t>第三次预测</t>
  </si>
  <si>
    <t>第二次预测</t>
  </si>
  <si>
    <t>第一次预测</t>
  </si>
  <si>
    <t>UOL</t>
  </si>
  <si>
    <t>OL</t>
  </si>
  <si>
    <t>LOL</t>
  </si>
  <si>
    <t>项目预计出现的偏差天数</t>
    <phoneticPr fontId="5" type="noConversion"/>
  </si>
  <si>
    <t>测试阶段进度偏差</t>
    <phoneticPr fontId="5" type="noConversion"/>
  </si>
  <si>
    <t>编码阶段进度偏差</t>
    <phoneticPr fontId="5" type="noConversion"/>
  </si>
  <si>
    <t>项目总工期</t>
    <phoneticPr fontId="5" type="noConversion"/>
  </si>
  <si>
    <t>类别</t>
  </si>
  <si>
    <t>预测编号</t>
  </si>
  <si>
    <t>模型公式：总体进度偏差 = 0.00223 + 0.282 编码阶段进度偏差 + 0.0599 测试阶段进度偏差</t>
    <phoneticPr fontId="5" type="noConversion"/>
  </si>
  <si>
    <t>测试发现的缺陷数</t>
    <phoneticPr fontId="5" type="noConversion"/>
  </si>
  <si>
    <t>测试加权缺陷密度</t>
    <phoneticPr fontId="5" type="noConversion"/>
  </si>
  <si>
    <t>实际测试执行轮次</t>
    <phoneticPr fontId="5" type="noConversion"/>
  </si>
  <si>
    <t>测试用例覆盖密度</t>
    <phoneticPr fontId="5" type="noConversion"/>
  </si>
  <si>
    <t>代码走查缺陷密度</t>
    <phoneticPr fontId="5" type="noConversion"/>
  </si>
  <si>
    <t>项目规模(SFP)</t>
    <phoneticPr fontId="5" type="noConversion"/>
  </si>
  <si>
    <t>基线</t>
    <phoneticPr fontId="5" type="noConversion"/>
  </si>
  <si>
    <t>模型公式：测试加权缺陷密度 = - 0.921 + 1.31 代码走查缺陷密度 + 0.0513 测试用例覆盖密度+ 0.446 实际测试执行轮次</t>
    <phoneticPr fontId="5" type="noConversion"/>
  </si>
  <si>
    <t>生产率</t>
    <phoneticPr fontId="5" type="noConversion"/>
  </si>
  <si>
    <t>测试阶段单位规模工作量</t>
    <phoneticPr fontId="5" type="noConversion"/>
  </si>
  <si>
    <t>编码阶段单位规模工作量</t>
    <phoneticPr fontId="5" type="noConversion"/>
  </si>
  <si>
    <t>需求阶段单位规模工作量</t>
    <phoneticPr fontId="5" type="noConversion"/>
  </si>
  <si>
    <t>项目规模（SFP）</t>
    <phoneticPr fontId="5" type="noConversion"/>
  </si>
  <si>
    <t>生产率模型预测</t>
    <phoneticPr fontId="5" type="noConversion"/>
  </si>
  <si>
    <t>验收阶段</t>
    <phoneticPr fontId="5" type="noConversion"/>
  </si>
  <si>
    <t>编码及单元测试</t>
    <phoneticPr fontId="5" type="noConversion"/>
  </si>
  <si>
    <t>总计</t>
    <phoneticPr fontId="5" type="noConversion"/>
  </si>
  <si>
    <t>质量保证活动</t>
  </si>
  <si>
    <t>配置管理活动</t>
  </si>
  <si>
    <t>实际</t>
    <phoneticPr fontId="5" type="noConversion"/>
  </si>
  <si>
    <t>计划</t>
    <phoneticPr fontId="5" type="noConversion"/>
  </si>
  <si>
    <t>度量活动</t>
    <phoneticPr fontId="5" type="noConversion"/>
  </si>
  <si>
    <t>#</t>
    <phoneticPr fontId="5" type="noConversion"/>
  </si>
  <si>
    <t>度量单位：人日</t>
    <phoneticPr fontId="5" type="noConversion"/>
  </si>
  <si>
    <t>目的：为重新估算提供参考；为收集组织工作量分布数据提供输入；比较估计工作量的准确性并用以调整计划。</t>
    <phoneticPr fontId="5" type="noConversion"/>
  </si>
  <si>
    <t>工作量分布</t>
    <phoneticPr fontId="5" type="noConversion"/>
  </si>
  <si>
    <t>度量单位：0</t>
    <phoneticPr fontId="5" type="noConversion"/>
  </si>
  <si>
    <t>目的1：支持对项目进度偏差、生产率、质量的分析，计算公式TCF = 0.6 + 0.01 x ∑（技术复杂度影响因素）</t>
    <phoneticPr fontId="5" type="noConversion"/>
  </si>
  <si>
    <t>度量三：技术复杂度</t>
    <phoneticPr fontId="5" type="noConversion"/>
  </si>
  <si>
    <t>项目生产率</t>
    <phoneticPr fontId="5" type="noConversion"/>
  </si>
  <si>
    <t>项目实际工作量</t>
    <phoneticPr fontId="5" type="noConversion"/>
  </si>
  <si>
    <t>项目规模</t>
    <phoneticPr fontId="5" type="noConversion"/>
  </si>
  <si>
    <r>
      <t>度量单位：S</t>
    </r>
    <r>
      <rPr>
        <sz val="11"/>
        <color theme="1"/>
        <rFont val="宋体"/>
        <family val="2"/>
        <scheme val="minor"/>
      </rPr>
      <t>FP</t>
    </r>
    <r>
      <rPr>
        <sz val="10"/>
        <rFont val="宋体"/>
        <family val="3"/>
        <charset val="134"/>
      </rPr>
      <t>/人日</t>
    </r>
    <phoneticPr fontId="5" type="noConversion"/>
  </si>
  <si>
    <t>度量二：项目生产率度量</t>
    <phoneticPr fontId="5" type="noConversion"/>
  </si>
  <si>
    <t>编码阶段</t>
    <phoneticPr fontId="5" type="noConversion"/>
  </si>
  <si>
    <t>改进措施</t>
    <phoneticPr fontId="5" type="noConversion"/>
  </si>
  <si>
    <t>偏差分析</t>
    <phoneticPr fontId="5" type="noConversion"/>
  </si>
  <si>
    <t>阶段</t>
    <phoneticPr fontId="5" type="noConversion"/>
  </si>
  <si>
    <t>复用程度</t>
    <phoneticPr fontId="5" type="noConversion"/>
  </si>
  <si>
    <t>目的：比较估计规模的准确性并用以调整计划。</t>
    <phoneticPr fontId="5" type="noConversion"/>
  </si>
  <si>
    <t>度量一：各阶段对软件产品规模的度量</t>
    <phoneticPr fontId="5" type="noConversion"/>
  </si>
  <si>
    <t>规模度量统计分析报告</t>
    <phoneticPr fontId="5" type="noConversion"/>
  </si>
  <si>
    <t>备注</t>
    <phoneticPr fontId="5" type="noConversion"/>
  </si>
  <si>
    <t>目的：通过项目压力系,判断项目受外在因素的影响有大小,从来</t>
    <phoneticPr fontId="5" type="noConversion"/>
  </si>
  <si>
    <t>度量二：项目周期压力系数</t>
    <phoneticPr fontId="5" type="noConversion"/>
  </si>
  <si>
    <t>实际开始时间</t>
    <phoneticPr fontId="5" type="noConversion"/>
  </si>
  <si>
    <t>计划开始时间</t>
    <phoneticPr fontId="5" type="noConversion"/>
  </si>
  <si>
    <t>偏差率</t>
    <phoneticPr fontId="5" type="noConversion"/>
  </si>
  <si>
    <t>阶段累计偏差率</t>
    <phoneticPr fontId="5" type="noConversion"/>
  </si>
  <si>
    <t>偏差天数</t>
  </si>
  <si>
    <t>变更后计划结束时间</t>
    <phoneticPr fontId="5" type="noConversion"/>
  </si>
  <si>
    <t>实际完成时间</t>
  </si>
  <si>
    <t>计划完成时间</t>
    <phoneticPr fontId="5" type="noConversion"/>
  </si>
  <si>
    <t>SPE/Phase</t>
    <phoneticPr fontId="5" type="noConversion"/>
  </si>
  <si>
    <t>项目进度</t>
    <phoneticPr fontId="5" type="noConversion"/>
  </si>
  <si>
    <r>
      <t>备注：当</t>
    </r>
    <r>
      <rPr>
        <sz val="10.5"/>
        <color indexed="8"/>
        <rFont val="Arial"/>
        <family val="2"/>
      </rPr>
      <t>Activity</t>
    </r>
    <r>
      <rPr>
        <sz val="10.5"/>
        <color indexed="8"/>
        <rFont val="宋体"/>
        <family val="3"/>
        <charset val="134"/>
      </rPr>
      <t>选择</t>
    </r>
    <r>
      <rPr>
        <sz val="10.5"/>
        <color indexed="8"/>
        <rFont val="Arial"/>
        <family val="2"/>
      </rPr>
      <t>Trigger</t>
    </r>
    <r>
      <rPr>
        <sz val="10.5"/>
        <color indexed="8"/>
        <rFont val="宋体"/>
        <family val="3"/>
        <charset val="134"/>
      </rPr>
      <t>时，请选择与之颜色一致的</t>
    </r>
    <r>
      <rPr>
        <sz val="10.5"/>
        <color indexed="8"/>
        <rFont val="Arial"/>
        <family val="2"/>
      </rPr>
      <t>Trigger</t>
    </r>
    <r>
      <rPr>
        <sz val="10.5"/>
        <color indexed="8"/>
        <rFont val="宋体"/>
        <family val="3"/>
        <charset val="134"/>
      </rPr>
      <t>项目。</t>
    </r>
  </si>
  <si>
    <t>罕见的情形</t>
  </si>
  <si>
    <t>副作用</t>
  </si>
  <si>
    <t>内部文件</t>
  </si>
  <si>
    <t>并发</t>
  </si>
  <si>
    <t>语言依赖性</t>
  </si>
  <si>
    <t>向后兼容性</t>
  </si>
  <si>
    <t>横向兼容性</t>
  </si>
  <si>
    <t>逻辑或数据流</t>
  </si>
  <si>
    <t>设计一致性</t>
  </si>
  <si>
    <t>成熟能力</t>
  </si>
  <si>
    <t>复杂路径</t>
  </si>
  <si>
    <t>需求方面</t>
  </si>
  <si>
    <t>简单路径</t>
  </si>
  <si>
    <t>可靠性</t>
  </si>
  <si>
    <t>软件配置</t>
  </si>
  <si>
    <t>标准化</t>
  </si>
  <si>
    <t>硬件配置</t>
  </si>
  <si>
    <t>性能测试</t>
  </si>
  <si>
    <t>可用性</t>
  </si>
  <si>
    <t>系统启动与重启</t>
  </si>
  <si>
    <r>
      <t>GUI</t>
    </r>
    <r>
      <rPr>
        <sz val="10"/>
        <color indexed="8"/>
        <rFont val="宋体"/>
        <family val="3"/>
        <charset val="134"/>
      </rPr>
      <t>检查</t>
    </r>
  </si>
  <si>
    <t>时间相关性错误</t>
  </si>
  <si>
    <t>文档方面</t>
  </si>
  <si>
    <t>数据恢复与出错处理</t>
  </si>
  <si>
    <t>修复测试</t>
  </si>
  <si>
    <t>可移植性</t>
  </si>
  <si>
    <t>负荷压力</t>
  </si>
  <si>
    <r>
      <t>Beta</t>
    </r>
    <r>
      <rPr>
        <sz val="10"/>
        <color indexed="8"/>
        <rFont val="宋体"/>
        <family val="3"/>
        <charset val="134"/>
      </rPr>
      <t>测试</t>
    </r>
  </si>
  <si>
    <t>其它</t>
  </si>
  <si>
    <t>界面错误</t>
  </si>
  <si>
    <t>可操作性</t>
  </si>
  <si>
    <t>阻碍</t>
  </si>
  <si>
    <t>系统测试</t>
  </si>
  <si>
    <t>运行环境</t>
  </si>
  <si>
    <t>重新修复</t>
  </si>
  <si>
    <t>植入代码</t>
  </si>
  <si>
    <t>可维护性</t>
  </si>
  <si>
    <t>迭代操作</t>
  </si>
  <si>
    <t>功能测试</t>
  </si>
  <si>
    <r>
      <t>未测出</t>
    </r>
    <r>
      <rPr>
        <sz val="10.5"/>
        <color indexed="8"/>
        <rFont val="Arial"/>
        <family val="2"/>
      </rPr>
      <t>-</t>
    </r>
    <r>
      <rPr>
        <sz val="10.5"/>
        <color indexed="8"/>
        <rFont val="宋体"/>
        <family val="3"/>
        <charset val="134"/>
      </rPr>
      <t>其它原因</t>
    </r>
  </si>
  <si>
    <t>编码</t>
  </si>
  <si>
    <t>后台代码</t>
  </si>
  <si>
    <t>重写</t>
  </si>
  <si>
    <t>外部代码</t>
  </si>
  <si>
    <t>外部的错误</t>
  </si>
  <si>
    <t>算法问题</t>
  </si>
  <si>
    <t>性能</t>
  </si>
  <si>
    <t>异常或边界值输入操作</t>
  </si>
  <si>
    <t>单元测试</t>
  </si>
  <si>
    <r>
      <t>未测出</t>
    </r>
    <r>
      <rPr>
        <sz val="10.5"/>
        <color indexed="8"/>
        <rFont val="Arial"/>
        <family val="2"/>
      </rPr>
      <t>-</t>
    </r>
    <r>
      <rPr>
        <sz val="10.5"/>
        <color indexed="8"/>
        <rFont val="宋体"/>
        <family val="3"/>
        <charset val="134"/>
      </rPr>
      <t>标准不明</t>
    </r>
  </si>
  <si>
    <t>设计</t>
  </si>
  <si>
    <t>脚本</t>
  </si>
  <si>
    <t>新的</t>
  </si>
  <si>
    <t>重用资源库中代码</t>
  </si>
  <si>
    <t>遗失的</t>
  </si>
  <si>
    <t>代码检查错误</t>
  </si>
  <si>
    <t>代码</t>
  </si>
  <si>
    <t>安全性</t>
  </si>
  <si>
    <t>顺序操作</t>
  </si>
  <si>
    <t>代码检查</t>
  </si>
  <si>
    <t>未自测</t>
  </si>
  <si>
    <t>需求</t>
  </si>
  <si>
    <t>页面</t>
  </si>
  <si>
    <t>基本</t>
  </si>
  <si>
    <t>内部代码</t>
  </si>
  <si>
    <t>不正确的</t>
  </si>
  <si>
    <t>初始化错误</t>
  </si>
  <si>
    <t>安装性</t>
  </si>
  <si>
    <t>基本功能</t>
  </si>
  <si>
    <t>设计审查</t>
  </si>
  <si>
    <t>缺陷原因</t>
  </si>
  <si>
    <t>缺陷来源</t>
  </si>
  <si>
    <t>缺陷位置</t>
  </si>
  <si>
    <t>Age</t>
  </si>
  <si>
    <t>Source</t>
  </si>
  <si>
    <t>Qualifier</t>
  </si>
  <si>
    <t>Target</t>
  </si>
  <si>
    <t>Impact</t>
  </si>
  <si>
    <t>Trigger</t>
  </si>
  <si>
    <t>编号</t>
    <phoneticPr fontId="5" type="noConversion"/>
  </si>
  <si>
    <t>度量单位：缺陷个数</t>
    <phoneticPr fontId="5" type="noConversion"/>
  </si>
  <si>
    <t>项目阶段</t>
    <phoneticPr fontId="5" type="noConversion"/>
  </si>
  <si>
    <t>目的：评估产品质量开展根因分析</t>
    <phoneticPr fontId="5" type="noConversion"/>
  </si>
  <si>
    <t>实际执行的轮次</t>
    <phoneticPr fontId="5" type="noConversion"/>
  </si>
  <si>
    <t>计划的执行轮次</t>
    <phoneticPr fontId="5" type="noConversion"/>
  </si>
  <si>
    <t>测试轮次</t>
    <phoneticPr fontId="5" type="noConversion"/>
  </si>
  <si>
    <t>度量单位：次数</t>
    <phoneticPr fontId="5" type="noConversion"/>
  </si>
  <si>
    <t>目的：</t>
    <phoneticPr fontId="5" type="noConversion"/>
  </si>
  <si>
    <t>度量三：测试的计划执行轮次及实际的执行轮次</t>
    <phoneticPr fontId="5" type="noConversion"/>
  </si>
  <si>
    <t>准入测试用例的总数</t>
    <phoneticPr fontId="5" type="noConversion"/>
  </si>
  <si>
    <t>通过率</t>
    <phoneticPr fontId="5" type="noConversion"/>
  </si>
  <si>
    <t>度量单位：</t>
    <phoneticPr fontId="5" type="noConversion"/>
  </si>
  <si>
    <t>目的：促进公司级产品质量提高,评估开发的版本质量</t>
    <phoneticPr fontId="5" type="noConversion"/>
  </si>
  <si>
    <t>建议缺陷</t>
    <phoneticPr fontId="5" type="noConversion"/>
  </si>
  <si>
    <t>一般缺陷</t>
    <phoneticPr fontId="5" type="noConversion"/>
  </si>
  <si>
    <t>严重缺陷</t>
    <phoneticPr fontId="5" type="noConversion"/>
  </si>
  <si>
    <t>致命缺陷</t>
    <phoneticPr fontId="5" type="noConversion"/>
  </si>
  <si>
    <t>缺陷级别</t>
    <phoneticPr fontId="5" type="noConversion"/>
  </si>
  <si>
    <t>配置管理员</t>
  </si>
  <si>
    <t>测试工程师</t>
  </si>
  <si>
    <t>开发工程师</t>
  </si>
  <si>
    <t>需求分析师</t>
  </si>
  <si>
    <t>3D建模工程师</t>
  </si>
  <si>
    <t>UI及美工</t>
  </si>
  <si>
    <t>策划工程师</t>
  </si>
  <si>
    <t>产品经理</t>
  </si>
  <si>
    <t>项目经理</t>
  </si>
  <si>
    <t>要求的
人员业务知识</t>
    <phoneticPr fontId="5" type="noConversion"/>
  </si>
  <si>
    <t>要求的
技能系数</t>
    <phoneticPr fontId="5" type="noConversion"/>
  </si>
  <si>
    <t>工作年限</t>
    <phoneticPr fontId="5" type="noConversion"/>
  </si>
  <si>
    <t>项目角色</t>
    <phoneticPr fontId="5" type="noConversion"/>
  </si>
  <si>
    <t>-</t>
    <phoneticPr fontId="5" type="noConversion"/>
  </si>
  <si>
    <t>度量单位：项目成员每周投入的工作量（人天）</t>
    <phoneticPr fontId="5" type="noConversion"/>
  </si>
  <si>
    <t>累计工作量</t>
    <phoneticPr fontId="5" type="noConversion"/>
  </si>
  <si>
    <t>配置管理员</t>
    <phoneticPr fontId="5" type="noConversion"/>
  </si>
  <si>
    <t>测试工程师</t>
    <phoneticPr fontId="5" type="noConversion"/>
  </si>
  <si>
    <t>策划工程师</t>
    <phoneticPr fontId="5" type="noConversion"/>
  </si>
  <si>
    <t>开发工程师</t>
    <phoneticPr fontId="5" type="noConversion"/>
  </si>
  <si>
    <t>1，加强测试用例编写技能的培训，提高测试人员用例编写技能水平。负责人：，完成日期：</t>
    <phoneticPr fontId="5" type="noConversion"/>
  </si>
  <si>
    <t>长期措施：</t>
    <phoneticPr fontId="5" type="noConversion"/>
  </si>
  <si>
    <t>2，如目标达成的置信度较低，将其纳入风险管理，并增加对后续阶段工作量偏差的监控频度；</t>
    <phoneticPr fontId="5" type="noConversion"/>
  </si>
  <si>
    <t>1，将测试阶段工作量实际数据带入模型进行目标模拟，预测目标达成的置信度；</t>
    <phoneticPr fontId="5" type="noConversion"/>
  </si>
  <si>
    <t>短期措施：</t>
    <phoneticPr fontId="5" type="noConversion"/>
  </si>
  <si>
    <t>5、改进行动</t>
    <phoneticPr fontId="5" type="noConversion"/>
  </si>
  <si>
    <t xml:space="preserve">1、核心模块的复杂度较高，导致编写测试用例的工作难度比较大，所以工作量相应增加。
2、测试用例数量的增加，以及用例质量的提升，使得发现的缺陷数较多，相应引起缺陷修改和回归工作量的增加。
</t>
    <phoneticPr fontId="5" type="noConversion"/>
  </si>
  <si>
    <t>４、总结</t>
    <phoneticPr fontId="5" type="noConversion"/>
  </si>
  <si>
    <t>根据分析的数据，绘制Pareto 图</t>
    <phoneticPr fontId="5" type="noConversion"/>
  </si>
  <si>
    <t>合计</t>
  </si>
  <si>
    <t>影响程度</t>
    <phoneticPr fontId="5" type="noConversion"/>
  </si>
  <si>
    <t xml:space="preserve">问题类型 </t>
  </si>
  <si>
    <t xml:space="preserve">序号 </t>
  </si>
  <si>
    <t>分析问题及其影响程度</t>
    <phoneticPr fontId="5" type="noConversion"/>
  </si>
  <si>
    <t>组织会议，采用头脑风暴，对集成测试工作量高的原因进行分析，如下：</t>
    <phoneticPr fontId="5" type="noConversion"/>
  </si>
  <si>
    <t>3、原因分析</t>
    <phoneticPr fontId="5" type="noConversion"/>
  </si>
  <si>
    <t>通过现有度量数据，可以得出集成测试阶段工作量高，可能有以下原因：</t>
    <phoneticPr fontId="5" type="noConversion"/>
  </si>
  <si>
    <t>集成测试单位规模用例数偏高，用相对项目QPPO值处于接近上限值 。</t>
    <phoneticPr fontId="5" type="noConversion"/>
  </si>
  <si>
    <t>集成测试单位规模用例数</t>
    <phoneticPr fontId="5" type="noConversion"/>
  </si>
  <si>
    <t>集成测试用例数（个）</t>
    <phoneticPr fontId="5" type="noConversion"/>
  </si>
  <si>
    <t>集成测试单位规模缺陷密度偏高</t>
    <phoneticPr fontId="5" type="noConversion"/>
  </si>
  <si>
    <t>集成测试缺陷密度控制图中，数据点均落在中心线同侧，且在中心线和上限间。</t>
    <phoneticPr fontId="5" type="noConversion"/>
  </si>
  <si>
    <t>集成测试缺陷密度</t>
    <phoneticPr fontId="5" type="noConversion"/>
  </si>
  <si>
    <t>集成测试缺陷数（个）</t>
    <phoneticPr fontId="5" type="noConversion"/>
  </si>
  <si>
    <t>U0L</t>
    <phoneticPr fontId="5" type="noConversion"/>
  </si>
  <si>
    <t>OL</t>
    <phoneticPr fontId="5" type="noConversion"/>
  </si>
  <si>
    <t>LOL</t>
    <phoneticPr fontId="5" type="noConversion"/>
  </si>
  <si>
    <t xml:space="preserve">    </t>
    <phoneticPr fontId="5" type="noConversion"/>
  </si>
  <si>
    <t>2）集成测试活动分析</t>
    <phoneticPr fontId="5" type="noConversion"/>
  </si>
  <si>
    <t>集成测试过程数据异常</t>
    <phoneticPr fontId="5" type="noConversion"/>
  </si>
  <si>
    <r>
      <t>根据集成测试活动和系统测试活动的计划工作量和实际工作量的数据对比，系统测试活动的工作量基本正常，而</t>
    </r>
    <r>
      <rPr>
        <b/>
        <sz val="10"/>
        <rFont val="微软雅黑"/>
        <family val="2"/>
        <charset val="134"/>
      </rPr>
      <t>集成测试活动的工作量偏高</t>
    </r>
    <r>
      <rPr>
        <sz val="10"/>
        <rFont val="微软雅黑"/>
        <family val="2"/>
        <charset val="134"/>
      </rPr>
      <t>，偏差率为24.3%，且相对项目QPPO值处于接近上限值。</t>
    </r>
    <phoneticPr fontId="5" type="noConversion"/>
  </si>
  <si>
    <t>集成测试单位规模工作量</t>
    <phoneticPr fontId="5" type="noConversion"/>
  </si>
  <si>
    <t>集成测试工作量（人时）</t>
    <phoneticPr fontId="5" type="noConversion"/>
  </si>
  <si>
    <t>OL</t>
    <phoneticPr fontId="5" type="noConversion"/>
  </si>
  <si>
    <t>实际</t>
    <phoneticPr fontId="5" type="noConversion"/>
  </si>
  <si>
    <t>集成测试</t>
  </si>
  <si>
    <t>实际工作量（人时）</t>
    <phoneticPr fontId="5" type="noConversion"/>
  </si>
  <si>
    <t>计划工作量(人时)</t>
    <phoneticPr fontId="5" type="noConversion"/>
  </si>
  <si>
    <t>活动名称</t>
    <phoneticPr fontId="5" type="noConversion"/>
  </si>
  <si>
    <t>1）产品测试阶段分析</t>
    <phoneticPr fontId="5" type="noConversion"/>
  </si>
  <si>
    <t>2、过程相关数据收集及分析</t>
    <phoneticPr fontId="5" type="noConversion"/>
  </si>
  <si>
    <t>“项目工作量偏差率”控制图，产品测试阶段的工作量偏差超出上限。</t>
    <phoneticPr fontId="5" type="noConversion"/>
  </si>
  <si>
    <t>1、识别异常点</t>
    <phoneticPr fontId="5" type="noConversion"/>
  </si>
  <si>
    <t>外部验收</t>
    <phoneticPr fontId="5" type="noConversion"/>
  </si>
  <si>
    <t>阶段（单位）规模工期</t>
    <phoneticPr fontId="5" type="noConversion"/>
  </si>
  <si>
    <t>开发阶段</t>
    <phoneticPr fontId="5" type="noConversion"/>
  </si>
  <si>
    <t>立项需求阶段</t>
    <phoneticPr fontId="5" type="noConversion"/>
  </si>
  <si>
    <t>遗留缺陷</t>
    <phoneticPr fontId="5" type="noConversion"/>
  </si>
  <si>
    <r>
      <t xml:space="preserve">注：
Y：数据一致；
</t>
    </r>
    <r>
      <rPr>
        <sz val="10"/>
        <color indexed="10"/>
        <rFont val="微软雅黑"/>
        <family val="2"/>
        <charset val="134"/>
      </rPr>
      <t>N：数据不一致，请检查&lt;项目度量分析计划&gt;中“项目目标”值和&lt;模型&gt;页上的“定义假设单元”表中的值，并修改。</t>
    </r>
    <phoneticPr fontId="5" type="noConversion"/>
  </si>
  <si>
    <t>测试加权缺陷密度</t>
    <phoneticPr fontId="4" type="noConversion"/>
  </si>
  <si>
    <t>总体进度偏差</t>
    <phoneticPr fontId="4" type="noConversion"/>
  </si>
  <si>
    <t>基线-总体</t>
  </si>
  <si>
    <t>□ 否</t>
  </si>
  <si>
    <t>生产率</t>
    <phoneticPr fontId="5" type="noConversion"/>
  </si>
  <si>
    <t>组织QPPO</t>
    <phoneticPr fontId="5" type="noConversion"/>
  </si>
  <si>
    <t>总体进度偏差</t>
    <phoneticPr fontId="5" type="noConversion"/>
  </si>
  <si>
    <t>客户需求评审密度</t>
    <phoneticPr fontId="5" type="noConversion"/>
  </si>
  <si>
    <t>立项/需求单位规模工期(UI原型+需求规格)</t>
    <phoneticPr fontId="5" type="noConversion"/>
  </si>
  <si>
    <t>立项/需求单位规模工期(需求规格)</t>
    <phoneticPr fontId="5" type="noConversion"/>
  </si>
  <si>
    <t>立项/需求单位规模工作量(UI原型+需求规格)</t>
    <phoneticPr fontId="5" type="noConversion"/>
  </si>
  <si>
    <t>立项/需求单位规模工作量(需求规格)</t>
    <phoneticPr fontId="5" type="noConversion"/>
  </si>
  <si>
    <t>立项/需求阶段进度偏差(UI原型+需求规格)</t>
    <phoneticPr fontId="5" type="noConversion"/>
  </si>
  <si>
    <t>立项/需求阶段进度偏差(需求规格)</t>
    <phoneticPr fontId="5" type="noConversion"/>
  </si>
  <si>
    <t>需求规格的评审缺陷密度</t>
    <phoneticPr fontId="5" type="noConversion"/>
  </si>
  <si>
    <t>设计单位规模工期(全设计)</t>
    <phoneticPr fontId="5" type="noConversion"/>
  </si>
  <si>
    <t>设计单位规模重叠工期(全设计)</t>
    <phoneticPr fontId="5" type="noConversion"/>
  </si>
  <si>
    <t>设计单位规模工作量(全设计)</t>
    <phoneticPr fontId="5" type="noConversion"/>
  </si>
  <si>
    <t>设计阶段进度偏差(全设计)</t>
    <phoneticPr fontId="5" type="noConversion"/>
  </si>
  <si>
    <t>设计单位规模工期(核心设计)</t>
    <phoneticPr fontId="5" type="noConversion"/>
  </si>
  <si>
    <t>设计单位规模重叠工期(核心设计)</t>
    <phoneticPr fontId="5" type="noConversion"/>
  </si>
  <si>
    <t>设计单位规模工作量(核心设计)</t>
    <phoneticPr fontId="5" type="noConversion"/>
  </si>
  <si>
    <t>设计阶段进度偏差(核心设计)</t>
    <phoneticPr fontId="5" type="noConversion"/>
  </si>
  <si>
    <t>设计单位规模工期(简化设计)</t>
    <phoneticPr fontId="5" type="noConversion"/>
  </si>
  <si>
    <t>设计单位规模重叠工期(简化设计)</t>
    <phoneticPr fontId="5" type="noConversion"/>
  </si>
  <si>
    <t>设计单位规模工作量(简化设计)</t>
    <phoneticPr fontId="5" type="noConversion"/>
  </si>
  <si>
    <t>设计阶段进度偏差(简化设计)</t>
    <phoneticPr fontId="5" type="noConversion"/>
  </si>
  <si>
    <t>设计阶段的评审缺陷密度</t>
    <phoneticPr fontId="5" type="noConversion"/>
  </si>
  <si>
    <t>开发阶段单位规模工期(全走查)</t>
    <phoneticPr fontId="5" type="noConversion"/>
  </si>
  <si>
    <t>开发阶段单位规模重叠工期(全走查)</t>
    <phoneticPr fontId="5" type="noConversion"/>
  </si>
  <si>
    <t>开发阶段单位规模工作量(全走查)</t>
    <phoneticPr fontId="5" type="noConversion"/>
  </si>
  <si>
    <t>开发阶段进度偏差(全走查)</t>
    <phoneticPr fontId="5" type="noConversion"/>
  </si>
  <si>
    <t>代码走查的缺陷密度(全走查)</t>
    <phoneticPr fontId="5" type="noConversion"/>
  </si>
  <si>
    <t>开发阶段单位规模工期(核心走查)</t>
    <phoneticPr fontId="5" type="noConversion"/>
  </si>
  <si>
    <t>开发阶段单位规模重叠工期(核心走查)</t>
    <phoneticPr fontId="5" type="noConversion"/>
  </si>
  <si>
    <t>开发阶段单位规模工作量(核心走查)</t>
    <phoneticPr fontId="5" type="noConversion"/>
  </si>
  <si>
    <t>开发阶段进度偏差(核心走查)</t>
    <phoneticPr fontId="5" type="noConversion"/>
  </si>
  <si>
    <t>代码走查的缺陷密度(核心走查)</t>
    <phoneticPr fontId="5" type="noConversion"/>
  </si>
  <si>
    <t>开发阶段单位规模工期(未走查)</t>
    <phoneticPr fontId="5" type="noConversion"/>
  </si>
  <si>
    <t>开发阶段单位规模重叠工期(未走查)</t>
    <phoneticPr fontId="5" type="noConversion"/>
  </si>
  <si>
    <t>开发阶段单位规模工作量(未走查)</t>
    <phoneticPr fontId="5" type="noConversion"/>
  </si>
  <si>
    <t>代码走查的缺陷密度(未走查)</t>
    <phoneticPr fontId="5" type="noConversion"/>
  </si>
  <si>
    <t>开发阶段进度偏差(未走查)</t>
    <phoneticPr fontId="5" type="noConversion"/>
  </si>
  <si>
    <t>测试用例覆盖密度((强测试)</t>
    <phoneticPr fontId="5" type="noConversion"/>
  </si>
  <si>
    <t>测试用例覆盖密度(弱测试)</t>
    <phoneticPr fontId="5" type="noConversion"/>
  </si>
  <si>
    <t>测试用例评审的缺陷密度</t>
    <phoneticPr fontId="5" type="noConversion"/>
  </si>
  <si>
    <t>准入测试通过率</t>
    <phoneticPr fontId="5" type="noConversion"/>
  </si>
  <si>
    <t>测试阶段单位规模工期(强测试)</t>
    <phoneticPr fontId="5" type="noConversion"/>
  </si>
  <si>
    <t>测试阶段单位规模重叠工期(强测试)</t>
    <phoneticPr fontId="5" type="noConversion"/>
  </si>
  <si>
    <t>测试阶段单位规模工作量(强测试)</t>
    <phoneticPr fontId="5" type="noConversion"/>
  </si>
  <si>
    <t>测试阶段进度偏差(强测试)</t>
    <phoneticPr fontId="5" type="noConversion"/>
  </si>
  <si>
    <t>测试实际执行轮次(强测试)</t>
    <phoneticPr fontId="5" type="noConversion"/>
  </si>
  <si>
    <t>测试缺陷密度(强测试)</t>
    <phoneticPr fontId="5" type="noConversion"/>
  </si>
  <si>
    <t>测试阶段单位规模工期(弱测试)</t>
    <phoneticPr fontId="5" type="noConversion"/>
  </si>
  <si>
    <t>测试阶段单位规模重叠工期(弱测试)</t>
    <phoneticPr fontId="5" type="noConversion"/>
  </si>
  <si>
    <t>测试阶段单位规模工作量(弱测试)</t>
    <phoneticPr fontId="5" type="noConversion"/>
  </si>
  <si>
    <t>测试阶段进度偏差(弱测试)</t>
    <phoneticPr fontId="5" type="noConversion"/>
  </si>
  <si>
    <t>测试实际执行轮次(弱测试)</t>
    <phoneticPr fontId="5" type="noConversion"/>
  </si>
  <si>
    <t>测试缺陷密度(弱测试)</t>
    <phoneticPr fontId="5" type="noConversion"/>
  </si>
  <si>
    <t>测试缺陷密度（总体）</t>
    <phoneticPr fontId="5" type="noConversion"/>
  </si>
  <si>
    <t>验收阶段单位规模工期((内部验收)</t>
    <phoneticPr fontId="5" type="noConversion"/>
  </si>
  <si>
    <t>验收阶段单位规模重叠工期(内部验收)</t>
    <phoneticPr fontId="5" type="noConversion"/>
  </si>
  <si>
    <t>验收阶段单位规模工作量（内部验收)</t>
    <phoneticPr fontId="5" type="noConversion"/>
  </si>
  <si>
    <t>验收阶段进度偏差(内部验收)</t>
    <phoneticPr fontId="5" type="noConversion"/>
  </si>
  <si>
    <t>验收缺陷密度(内部验收）</t>
    <phoneticPr fontId="5" type="noConversion"/>
  </si>
  <si>
    <t>验收阶段单位规模工期((外部验收)</t>
    <phoneticPr fontId="5" type="noConversion"/>
  </si>
  <si>
    <t>验收阶段单位规模重叠工期(外部验收)</t>
    <phoneticPr fontId="5" type="noConversion"/>
  </si>
  <si>
    <t>验收阶段单位规模工作量（外部验收)</t>
    <phoneticPr fontId="5" type="noConversion"/>
  </si>
  <si>
    <t>验收阶段进度偏差(外部验收)</t>
    <phoneticPr fontId="5" type="noConversion"/>
  </si>
  <si>
    <t>验收缺陷密度(外部验收）</t>
    <phoneticPr fontId="5" type="noConversion"/>
  </si>
  <si>
    <t>遗留缺陷密度(内部验收)</t>
    <phoneticPr fontId="5" type="noConversion"/>
  </si>
  <si>
    <t>遗留缺陷密度(外部验收)</t>
    <phoneticPr fontId="5" type="noConversion"/>
  </si>
  <si>
    <t>遗留缺陷率</t>
    <phoneticPr fontId="5" type="noConversion"/>
  </si>
  <si>
    <t>StartOptEquations</t>
  </si>
  <si>
    <t>PPM-V</t>
    <phoneticPr fontId="5" type="noConversion"/>
  </si>
  <si>
    <t>1、</t>
    <phoneticPr fontId="5" type="noConversion"/>
  </si>
  <si>
    <t>质量回归模型</t>
    <phoneticPr fontId="5" type="noConversion"/>
  </si>
  <si>
    <t>测试加权缺陷密度</t>
    <phoneticPr fontId="5" type="noConversion"/>
  </si>
  <si>
    <t>生产率</t>
    <phoneticPr fontId="5" type="noConversion"/>
  </si>
  <si>
    <t>总体进度偏差</t>
    <phoneticPr fontId="5" type="noConversion"/>
  </si>
  <si>
    <t>总体进度偏差 = 0.00223 + 0.282 编码阶段进度偏差 + 0.0599 测试阶段进度偏差</t>
    <phoneticPr fontId="5" type="noConversion"/>
  </si>
  <si>
    <t>2、</t>
    <phoneticPr fontId="5" type="noConversion"/>
  </si>
  <si>
    <t>工作量工期质量模型</t>
    <phoneticPr fontId="5" type="noConversion"/>
  </si>
  <si>
    <t>❶</t>
    <phoneticPr fontId="5" type="noConversion"/>
  </si>
  <si>
    <t>❷</t>
    <phoneticPr fontId="5" type="noConversion"/>
  </si>
  <si>
    <t>❸</t>
    <phoneticPr fontId="5" type="noConversion"/>
  </si>
  <si>
    <t>找到回归模型把公式带进来</t>
    <phoneticPr fontId="5" type="noConversion"/>
  </si>
  <si>
    <t>定 义 假 设 单 元</t>
    <phoneticPr fontId="5" type="noConversion"/>
  </si>
  <si>
    <t>定 义 方 案 选 择</t>
    <phoneticPr fontId="5" type="noConversion"/>
  </si>
  <si>
    <t>定 义 预 测 单 元</t>
    <phoneticPr fontId="5" type="noConversion"/>
  </si>
  <si>
    <t>工期</t>
    <phoneticPr fontId="5" type="noConversion"/>
  </si>
  <si>
    <t>进度偏差</t>
    <phoneticPr fontId="5" type="noConversion"/>
  </si>
  <si>
    <t>遗留缺陷</t>
    <phoneticPr fontId="5" type="noConversion"/>
  </si>
  <si>
    <t>需求阶段</t>
    <phoneticPr fontId="5" type="noConversion"/>
  </si>
  <si>
    <t>阶段（单位）规模工期</t>
    <phoneticPr fontId="5" type="noConversion"/>
  </si>
  <si>
    <t>阶段（单位）规模工作量</t>
    <phoneticPr fontId="5" type="noConversion"/>
  </si>
  <si>
    <t>需求阶段的评审缺陷密度</t>
    <phoneticPr fontId="5" type="noConversion"/>
  </si>
  <si>
    <t>阶段（来自于前面的阶段）</t>
    <phoneticPr fontId="5" type="noConversion"/>
  </si>
  <si>
    <t>方案选择</t>
    <phoneticPr fontId="5" type="noConversion"/>
  </si>
  <si>
    <t>阶段单位工期</t>
    <phoneticPr fontId="5" type="noConversion"/>
  </si>
  <si>
    <t>阶段重叠工期</t>
    <phoneticPr fontId="5" type="noConversion"/>
  </si>
  <si>
    <t>质量1</t>
    <phoneticPr fontId="5" type="noConversion"/>
  </si>
  <si>
    <t>质量2</t>
    <phoneticPr fontId="5" type="noConversion"/>
  </si>
  <si>
    <t>测试缺陷</t>
    <phoneticPr fontId="5" type="noConversion"/>
  </si>
  <si>
    <t>原型+需求规格</t>
    <phoneticPr fontId="5" type="noConversion"/>
  </si>
  <si>
    <t>目标值</t>
    <phoneticPr fontId="5" type="noConversion"/>
  </si>
  <si>
    <t>实际值</t>
    <phoneticPr fontId="5" type="noConversion"/>
  </si>
  <si>
    <t>需求规格</t>
    <phoneticPr fontId="5" type="noConversion"/>
  </si>
  <si>
    <t>01需求阶段</t>
    <phoneticPr fontId="5" type="noConversion"/>
  </si>
  <si>
    <t>-</t>
    <phoneticPr fontId="5" type="noConversion"/>
  </si>
  <si>
    <t>设计阶段</t>
    <phoneticPr fontId="5" type="noConversion"/>
  </si>
  <si>
    <t>阶段（单位）规模工作量</t>
    <phoneticPr fontId="4" type="noConversion"/>
  </si>
  <si>
    <t>设计阶段的评审缺陷密度</t>
    <phoneticPr fontId="5" type="noConversion"/>
  </si>
  <si>
    <t>02设计阶段</t>
    <phoneticPr fontId="4" type="noConversion"/>
  </si>
  <si>
    <t>全设计  (架构设计+系统设计)</t>
    <phoneticPr fontId="5" type="noConversion"/>
  </si>
  <si>
    <t>03开发阶段</t>
    <phoneticPr fontId="4" type="noConversion"/>
  </si>
  <si>
    <t>核心模块设计 (只针对核心功能设计)</t>
    <phoneticPr fontId="5" type="noConversion"/>
  </si>
  <si>
    <t>04测试阶段</t>
    <phoneticPr fontId="4" type="noConversion"/>
  </si>
  <si>
    <t>简化设计</t>
    <phoneticPr fontId="5" type="noConversion"/>
  </si>
  <si>
    <t>05验收阶段</t>
    <phoneticPr fontId="4" type="noConversion"/>
  </si>
  <si>
    <t>开发阶段</t>
    <phoneticPr fontId="5" type="noConversion"/>
  </si>
  <si>
    <t>阶段进度偏差</t>
    <phoneticPr fontId="5" type="noConversion"/>
  </si>
  <si>
    <t>代码走查缺陷密度</t>
    <phoneticPr fontId="5" type="noConversion"/>
  </si>
  <si>
    <t>全走查</t>
    <phoneticPr fontId="5" type="noConversion"/>
  </si>
  <si>
    <t>核心代码走查</t>
    <phoneticPr fontId="5" type="noConversion"/>
  </si>
  <si>
    <t>未走查</t>
    <phoneticPr fontId="5" type="noConversion"/>
  </si>
  <si>
    <t>测试阶段</t>
    <phoneticPr fontId="5" type="noConversion"/>
  </si>
  <si>
    <t>测试用例覆盖密度</t>
    <phoneticPr fontId="5" type="noConversion"/>
  </si>
  <si>
    <t>实际测试执行轮次（加权）</t>
    <phoneticPr fontId="5" type="noConversion"/>
  </si>
  <si>
    <t>测试加权的缺陷密度</t>
    <phoneticPr fontId="5" type="noConversion"/>
  </si>
  <si>
    <t>强测试</t>
    <phoneticPr fontId="5" type="noConversion"/>
  </si>
  <si>
    <t>弱测试</t>
    <phoneticPr fontId="5" type="noConversion"/>
  </si>
  <si>
    <t>验收阶段</t>
    <phoneticPr fontId="5" type="noConversion"/>
  </si>
  <si>
    <t>验收缺陷密度</t>
    <phoneticPr fontId="4" type="noConversion"/>
  </si>
  <si>
    <t>遗留缺陷密度</t>
    <phoneticPr fontId="5" type="noConversion"/>
  </si>
  <si>
    <t>内部验收</t>
    <phoneticPr fontId="5" type="noConversion"/>
  </si>
  <si>
    <t>外部验收</t>
    <phoneticPr fontId="5" type="noConversion"/>
  </si>
  <si>
    <t>●</t>
    <phoneticPr fontId="4" type="noConversion"/>
  </si>
  <si>
    <t>均值</t>
    <phoneticPr fontId="4" type="noConversion"/>
  </si>
  <si>
    <t>背景色表示的意思</t>
    <phoneticPr fontId="4" type="noConversion"/>
  </si>
  <si>
    <t>标准差</t>
    <phoneticPr fontId="4" type="noConversion"/>
  </si>
  <si>
    <t>决策变量</t>
    <phoneticPr fontId="4" type="noConversion"/>
  </si>
  <si>
    <t>预测变量</t>
    <phoneticPr fontId="4" type="noConversion"/>
  </si>
  <si>
    <t>6f70a6af-b6ea-4d81-9f3d-65fedc0ff3aa</t>
    <phoneticPr fontId="4" type="noConversion"/>
  </si>
  <si>
    <t>项目工期</t>
    <phoneticPr fontId="5" type="noConversion"/>
  </si>
  <si>
    <t>进度偏差率</t>
    <phoneticPr fontId="5" type="noConversion"/>
  </si>
  <si>
    <t>模型预测结果</t>
    <phoneticPr fontId="5" type="noConversion"/>
  </si>
  <si>
    <t>项目工作量</t>
    <phoneticPr fontId="4" type="noConversion"/>
  </si>
  <si>
    <t>测试加权缺陷密度</t>
    <phoneticPr fontId="4" type="noConversion"/>
  </si>
  <si>
    <t>测试缺陷加权数</t>
    <phoneticPr fontId="4" type="noConversion"/>
  </si>
  <si>
    <t>遗留缺陷加权数</t>
    <phoneticPr fontId="4" type="noConversion"/>
  </si>
  <si>
    <t>验收缺陷加权数</t>
    <phoneticPr fontId="4" type="noConversion"/>
  </si>
  <si>
    <t>单位规模工期</t>
    <phoneticPr fontId="4" type="noConversion"/>
  </si>
  <si>
    <t>生产率</t>
    <phoneticPr fontId="4" type="noConversion"/>
  </si>
  <si>
    <t>进度偏差</t>
    <phoneticPr fontId="4" type="noConversion"/>
  </si>
  <si>
    <t>遗留缺陷率</t>
    <phoneticPr fontId="4" type="noConversion"/>
  </si>
  <si>
    <t>预测促发</t>
    <phoneticPr fontId="4" type="noConversion"/>
  </si>
  <si>
    <t>允许进度最大偏差天数</t>
    <phoneticPr fontId="5" type="noConversion"/>
  </si>
  <si>
    <t>目标设定</t>
    <phoneticPr fontId="4" type="noConversion"/>
  </si>
  <si>
    <t>因子预测值</t>
  </si>
  <si>
    <t>生产率</t>
    <phoneticPr fontId="5" type="noConversion"/>
  </si>
  <si>
    <t>预测的项目总工作量(人天)</t>
    <phoneticPr fontId="5" type="noConversion"/>
  </si>
  <si>
    <t>估算的项目工作量</t>
    <phoneticPr fontId="4" type="noConversion"/>
  </si>
  <si>
    <t>各活动类型资源投入率</t>
    <phoneticPr fontId="5" type="noConversion"/>
  </si>
  <si>
    <t>各活动类型工作量比例</t>
    <phoneticPr fontId="5" type="noConversion"/>
  </si>
  <si>
    <t>计划各阶段工作量配比</t>
    <phoneticPr fontId="5" type="noConversion"/>
  </si>
  <si>
    <t>其他(风险预留)</t>
    <phoneticPr fontId="5" type="noConversion"/>
  </si>
  <si>
    <t>阶段累计工作量偏差率</t>
    <phoneticPr fontId="5" type="noConversion"/>
  </si>
  <si>
    <t>度量一： 项目进度偏差</t>
    <phoneticPr fontId="5" type="noConversion"/>
  </si>
  <si>
    <t>总体偏差</t>
    <phoneticPr fontId="5" type="noConversion"/>
  </si>
  <si>
    <t>阶段偏差率</t>
    <phoneticPr fontId="5" type="noConversion"/>
  </si>
  <si>
    <t>项目周期压力系数</t>
    <phoneticPr fontId="5" type="noConversion"/>
  </si>
  <si>
    <t>估算工期</t>
    <phoneticPr fontId="5" type="noConversion"/>
  </si>
  <si>
    <t>内定工期</t>
    <phoneticPr fontId="5" type="noConversion"/>
  </si>
  <si>
    <t>目的：了解各级估算之前的偏差,形成基线,便于研发提供更加工期结果更加准确</t>
    <phoneticPr fontId="5" type="noConversion"/>
  </si>
  <si>
    <t>度量单位: 人月、SFP</t>
    <phoneticPr fontId="5" type="noConversion"/>
  </si>
  <si>
    <t>量级估算
（人月）</t>
    <phoneticPr fontId="5" type="noConversion"/>
  </si>
  <si>
    <t>预算估算
（人月）</t>
    <phoneticPr fontId="5" type="noConversion"/>
  </si>
  <si>
    <t>量级估算与预算估算的偏差(%)</t>
    <phoneticPr fontId="5" type="noConversion"/>
  </si>
  <si>
    <t>预算估算
（SFP）</t>
    <phoneticPr fontId="5" type="noConversion"/>
  </si>
  <si>
    <t>确定性估算
（SFP)</t>
    <phoneticPr fontId="5" type="noConversion"/>
  </si>
  <si>
    <t>预算与确定性估算的偏差
(%)</t>
    <phoneticPr fontId="5" type="noConversion"/>
  </si>
  <si>
    <t>备注</t>
    <phoneticPr fontId="5" type="noConversion"/>
  </si>
  <si>
    <t xml:space="preserve"> 量级估算与预算估算偏差</t>
    <phoneticPr fontId="5" type="noConversion"/>
  </si>
  <si>
    <t>预算估算与确定性估算偏差</t>
    <phoneticPr fontId="5" type="noConversion"/>
  </si>
  <si>
    <t>确定性估算
（人月）</t>
    <phoneticPr fontId="5" type="noConversion"/>
  </si>
  <si>
    <t>预算估算与确定性偏差</t>
    <phoneticPr fontId="5" type="noConversion"/>
  </si>
  <si>
    <t>微小缺陷</t>
    <phoneticPr fontId="5" type="noConversion"/>
  </si>
  <si>
    <t>度量二:准入测试的通过率</t>
    <phoneticPr fontId="5" type="noConversion"/>
  </si>
  <si>
    <t>准入测试用例的通过率</t>
    <phoneticPr fontId="5" type="noConversion"/>
  </si>
  <si>
    <t>数量</t>
    <phoneticPr fontId="5" type="noConversion"/>
  </si>
  <si>
    <t>备注</t>
    <phoneticPr fontId="5" type="noConversion"/>
  </si>
  <si>
    <t>需求阶段</t>
    <phoneticPr fontId="5" type="noConversion"/>
  </si>
  <si>
    <t>设计阶段</t>
    <phoneticPr fontId="5" type="noConversion"/>
  </si>
  <si>
    <t>编码阶段</t>
    <phoneticPr fontId="5" type="noConversion"/>
  </si>
  <si>
    <t>其它</t>
    <phoneticPr fontId="5" type="noConversion"/>
  </si>
  <si>
    <t>目的：通过指标判断缺陷存在的位置,评估产品质量</t>
    <phoneticPr fontId="5" type="noConversion"/>
  </si>
  <si>
    <t>度量单位：缺陷个数</t>
    <phoneticPr fontId="5" type="noConversion"/>
  </si>
  <si>
    <t>编号</t>
    <phoneticPr fontId="5" type="noConversion"/>
  </si>
  <si>
    <t>缺陷位置</t>
    <phoneticPr fontId="5" type="noConversion"/>
  </si>
  <si>
    <t>度量六：缺陷类型</t>
    <phoneticPr fontId="5" type="noConversion"/>
  </si>
  <si>
    <t>目的:通过缺陷类型评估开发的产品质量</t>
    <phoneticPr fontId="5" type="noConversion"/>
  </si>
  <si>
    <t>单位:缺陷个数</t>
    <phoneticPr fontId="5" type="noConversion"/>
  </si>
  <si>
    <t>度量数据来源: Devsuite</t>
    <phoneticPr fontId="5" type="noConversion"/>
  </si>
  <si>
    <t>缺陷类型</t>
    <phoneticPr fontId="5" type="noConversion"/>
  </si>
  <si>
    <t>需求方面</t>
    <phoneticPr fontId="5" type="noConversion"/>
  </si>
  <si>
    <t>遗漏需求、需求描述不清</t>
    <phoneticPr fontId="5" type="noConversion"/>
  </si>
  <si>
    <t>界面错误</t>
    <phoneticPr fontId="5" type="noConversion"/>
  </si>
  <si>
    <t>功能性错误</t>
    <phoneticPr fontId="5" type="noConversion"/>
  </si>
  <si>
    <t>数据源错误</t>
    <phoneticPr fontId="5" type="noConversion"/>
  </si>
  <si>
    <t>性能方面</t>
    <phoneticPr fontId="5" type="noConversion"/>
  </si>
  <si>
    <t>接口问题</t>
    <phoneticPr fontId="5" type="noConversion"/>
  </si>
  <si>
    <t>辅助工具</t>
    <phoneticPr fontId="5" type="noConversion"/>
  </si>
  <si>
    <t>Activity：就是当缺陷被发现时实际的处理步骤。比如单元测试，功能测试，系统测试等等。
Trigger：描述了暴露缺陷时存在的环境或者条件。针对不同的 
Activity，会对应有不同的 Trigger。
Impact：是指缺陷可能对用户造成的影响。Target：将要在哪里改正错误，例如：design、code 等等。
Type：表示所进行的实际修正的种类，比如算法，接口，初始化等等。针对不同的 Target，也会定义不同的 Type。
Qualifier：指明了所进行的修复应归于缺失，错误或者还是外来的代码或者信息。
Source：指明了发现的缺陷的来源，是出现在内部代码编写中，重用自一个程序库中，从一个平台转移到另一个平台上的，或者是外包一个软件销售商的。
Age：确定这个缺陷是新代码还是旧代码，或者是重写的代码。</t>
    <phoneticPr fontId="5" type="noConversion"/>
  </si>
  <si>
    <t>Activity</t>
    <phoneticPr fontId="5" type="noConversion"/>
  </si>
  <si>
    <t>Defect Type</t>
    <phoneticPr fontId="5" type="noConversion"/>
  </si>
  <si>
    <t>功能性错误</t>
    <phoneticPr fontId="5" type="noConversion"/>
  </si>
  <si>
    <t>代码关联或继承错误</t>
    <phoneticPr fontId="5" type="noConversion"/>
  </si>
  <si>
    <t>人员度量统计分析报告</t>
    <phoneticPr fontId="5" type="noConversion"/>
  </si>
  <si>
    <t>度量一：项目组成员每周的工作量投入情况</t>
    <phoneticPr fontId="5" type="noConversion"/>
  </si>
  <si>
    <t>角色</t>
    <phoneticPr fontId="5" type="noConversion"/>
  </si>
  <si>
    <t>项目经理</t>
    <phoneticPr fontId="5" type="noConversion"/>
  </si>
  <si>
    <t>UI及美工工程师</t>
    <phoneticPr fontId="5" type="noConversion"/>
  </si>
  <si>
    <t>质量保证</t>
    <phoneticPr fontId="5" type="noConversion"/>
  </si>
  <si>
    <t>目的：度量每周人员投入情况，为计划时安排资源提供输入</t>
    <phoneticPr fontId="5" type="noConversion"/>
  </si>
  <si>
    <t>工作量比例</t>
    <phoneticPr fontId="5" type="noConversion"/>
  </si>
  <si>
    <t>项目成员</t>
    <phoneticPr fontId="5" type="noConversion"/>
  </si>
  <si>
    <t>实际的
技能系数</t>
    <phoneticPr fontId="5" type="noConversion"/>
  </si>
  <si>
    <t>实际的
人员业务知识</t>
    <phoneticPr fontId="5" type="noConversion"/>
  </si>
  <si>
    <t>张三</t>
    <phoneticPr fontId="5" type="noConversion"/>
  </si>
  <si>
    <t>张三</t>
    <phoneticPr fontId="5" type="noConversion"/>
  </si>
  <si>
    <t>开发工程师</t>
    <phoneticPr fontId="5" type="noConversion"/>
  </si>
  <si>
    <t>张三</t>
    <phoneticPr fontId="5" type="noConversion"/>
  </si>
  <si>
    <t>张三</t>
    <phoneticPr fontId="5" type="noConversion"/>
  </si>
  <si>
    <t>度量二：团队平均技能系数</t>
    <phoneticPr fontId="5" type="noConversion"/>
  </si>
  <si>
    <t>目的：度量团队的整体技能水平，该指标越高，说明项目团队的整体技能水平越高。</t>
    <phoneticPr fontId="5" type="noConversion"/>
  </si>
  <si>
    <t>度量单位：0</t>
    <phoneticPr fontId="5" type="noConversion"/>
  </si>
  <si>
    <t>团队技能平均系数</t>
    <phoneticPr fontId="5" type="noConversion"/>
  </si>
  <si>
    <t>项目经理</t>
    <phoneticPr fontId="5" type="noConversion"/>
  </si>
  <si>
    <t>策划团队</t>
    <phoneticPr fontId="5" type="noConversion"/>
  </si>
  <si>
    <t>需求分析</t>
    <phoneticPr fontId="5" type="noConversion"/>
  </si>
  <si>
    <t>开发团队</t>
    <phoneticPr fontId="5" type="noConversion"/>
  </si>
  <si>
    <t>测试团队</t>
    <phoneticPr fontId="5" type="noConversion"/>
  </si>
  <si>
    <t>UI及美工团队</t>
    <phoneticPr fontId="5" type="noConversion"/>
  </si>
  <si>
    <t>架构师团队</t>
    <phoneticPr fontId="5" type="noConversion"/>
  </si>
  <si>
    <t>质量保证工程师</t>
    <phoneticPr fontId="5" type="noConversion"/>
  </si>
  <si>
    <t>配置管理工程师</t>
    <phoneticPr fontId="5" type="noConversion"/>
  </si>
  <si>
    <t>度量三：各阶段资源到位率</t>
    <phoneticPr fontId="5" type="noConversion"/>
  </si>
  <si>
    <t>目的：度量各阶段开发人员数量，为计划时安排资源提供输入</t>
    <phoneticPr fontId="5" type="noConversion"/>
  </si>
  <si>
    <t>度量单位：人员数量</t>
    <phoneticPr fontId="5" type="noConversion"/>
  </si>
  <si>
    <t>阶段</t>
    <phoneticPr fontId="5" type="noConversion"/>
  </si>
  <si>
    <t>计划投入人数</t>
    <phoneticPr fontId="5" type="noConversion"/>
  </si>
  <si>
    <t>实际到位人数</t>
    <phoneticPr fontId="5" type="noConversion"/>
  </si>
  <si>
    <t>各阶段资源到位率</t>
    <phoneticPr fontId="5" type="noConversion"/>
  </si>
  <si>
    <t>需求阶段</t>
    <phoneticPr fontId="5" type="noConversion"/>
  </si>
  <si>
    <t>设计阶段</t>
    <phoneticPr fontId="5" type="noConversion"/>
  </si>
  <si>
    <t>编码阶段</t>
    <phoneticPr fontId="5" type="noConversion"/>
  </si>
  <si>
    <t>测试阶段</t>
    <phoneticPr fontId="5" type="noConversion"/>
  </si>
  <si>
    <t>验收阶段</t>
    <phoneticPr fontId="5" type="noConversion"/>
  </si>
  <si>
    <t>度量四：人员变动率 (不考虑全职兼职，按人头计算)</t>
    <phoneticPr fontId="5" type="noConversion"/>
  </si>
  <si>
    <t>目的：评估团队的稳定性</t>
    <phoneticPr fontId="5" type="noConversion"/>
  </si>
  <si>
    <t>度量单位：阶段开发人员数（按人次计）</t>
    <phoneticPr fontId="5" type="noConversion"/>
  </si>
  <si>
    <t>阶段</t>
    <phoneticPr fontId="5" type="noConversion"/>
  </si>
  <si>
    <t>起始人数</t>
    <phoneticPr fontId="5" type="noConversion"/>
  </si>
  <si>
    <t>新入职人员</t>
    <phoneticPr fontId="5" type="noConversion"/>
  </si>
  <si>
    <t>离职人数</t>
    <phoneticPr fontId="5" type="noConversion"/>
  </si>
  <si>
    <t>内部调入</t>
    <phoneticPr fontId="5" type="noConversion"/>
  </si>
  <si>
    <t>内部调出</t>
    <phoneticPr fontId="5" type="noConversion"/>
  </si>
  <si>
    <t>实际人数</t>
    <phoneticPr fontId="5" type="noConversion"/>
  </si>
  <si>
    <t>变动率</t>
    <phoneticPr fontId="5" type="noConversion"/>
  </si>
  <si>
    <t>需求阶段</t>
    <phoneticPr fontId="5" type="noConversion"/>
  </si>
  <si>
    <t>测试阶段</t>
    <phoneticPr fontId="5" type="noConversion"/>
  </si>
  <si>
    <t>验收阶段</t>
    <phoneticPr fontId="5" type="noConversion"/>
  </si>
  <si>
    <t>累计</t>
    <phoneticPr fontId="5" type="noConversion"/>
  </si>
  <si>
    <t>度量五：稼动率 各阶段的工作量投入情况分析</t>
    <phoneticPr fontId="5" type="noConversion"/>
  </si>
  <si>
    <t>目的：项目的稼动率，该指标&gt;1表示团队的加班情况越明显，指标&lt;0表示资源使用不充分。</t>
    <phoneticPr fontId="5" type="noConversion"/>
  </si>
  <si>
    <t>度量的单位:</t>
    <phoneticPr fontId="5" type="noConversion"/>
  </si>
  <si>
    <t>实际投入工作量</t>
    <phoneticPr fontId="5" type="noConversion"/>
  </si>
  <si>
    <t>稼动率</t>
    <phoneticPr fontId="5" type="noConversion"/>
  </si>
  <si>
    <t>设计阶段</t>
    <phoneticPr fontId="5" type="noConversion"/>
  </si>
  <si>
    <t>验收阶段</t>
    <phoneticPr fontId="5" type="noConversion"/>
  </si>
  <si>
    <t>合计</t>
    <phoneticPr fontId="5" type="noConversion"/>
  </si>
  <si>
    <t>累计</t>
    <phoneticPr fontId="5" type="noConversion"/>
  </si>
  <si>
    <t>需求规格稳定度</t>
    <phoneticPr fontId="5" type="noConversion"/>
  </si>
  <si>
    <t>变更数合计</t>
    <phoneticPr fontId="5" type="noConversion"/>
  </si>
  <si>
    <t>修订</t>
    <phoneticPr fontId="5" type="noConversion"/>
  </si>
  <si>
    <t>删除</t>
    <phoneticPr fontId="5" type="noConversion"/>
  </si>
  <si>
    <t>新增</t>
    <phoneticPr fontId="5" type="noConversion"/>
  </si>
  <si>
    <t xml:space="preserve"> 需求稳定度</t>
    <phoneticPr fontId="5" type="noConversion"/>
  </si>
  <si>
    <t>变更的需求数</t>
    <phoneticPr fontId="5" type="noConversion"/>
  </si>
  <si>
    <t>初始需求总数</t>
    <phoneticPr fontId="5" type="noConversion"/>
  </si>
  <si>
    <t>阶段名称</t>
    <phoneticPr fontId="5" type="noConversion"/>
  </si>
  <si>
    <t>度量指标</t>
    <phoneticPr fontId="5" type="noConversion"/>
  </si>
  <si>
    <t>度量单位：软件瀑布开发项目SFP, 迭代项目需求任务条数，3D模型个数、场景数</t>
    <phoneticPr fontId="5" type="noConversion"/>
  </si>
  <si>
    <t>目的：支持对项目质量、成本、进度的分析和控制</t>
    <phoneticPr fontId="5" type="noConversion"/>
  </si>
  <si>
    <t xml:space="preserve">度量二：需求规格稳定度 </t>
    <phoneticPr fontId="5" type="noConversion"/>
  </si>
  <si>
    <t>累计</t>
    <phoneticPr fontId="5" type="noConversion"/>
  </si>
  <si>
    <t>验收阶段</t>
    <phoneticPr fontId="5" type="noConversion"/>
  </si>
  <si>
    <t>测试阶段</t>
    <phoneticPr fontId="5" type="noConversion"/>
  </si>
  <si>
    <t>开发阶段</t>
    <phoneticPr fontId="5" type="noConversion"/>
  </si>
  <si>
    <t>设计阶段</t>
    <phoneticPr fontId="5" type="noConversion"/>
  </si>
  <si>
    <t>客户需求稳定度</t>
    <phoneticPr fontId="5" type="noConversion"/>
  </si>
  <si>
    <t>变更数合计</t>
    <phoneticPr fontId="5" type="noConversion"/>
  </si>
  <si>
    <t>修订</t>
    <phoneticPr fontId="5" type="noConversion"/>
  </si>
  <si>
    <t>删除</t>
    <phoneticPr fontId="5" type="noConversion"/>
  </si>
  <si>
    <t>新增</t>
    <phoneticPr fontId="5" type="noConversion"/>
  </si>
  <si>
    <t xml:space="preserve"> 需求稳定度</t>
    <phoneticPr fontId="5" type="noConversion"/>
  </si>
  <si>
    <r>
      <t>需求变更产生的S</t>
    </r>
    <r>
      <rPr>
        <b/>
        <sz val="10"/>
        <rFont val="宋体"/>
        <family val="3"/>
        <charset val="134"/>
      </rPr>
      <t>FP</t>
    </r>
    <r>
      <rPr>
        <b/>
        <sz val="10"/>
        <rFont val="宋体"/>
        <family val="3"/>
        <charset val="134"/>
      </rPr>
      <t>变化</t>
    </r>
    <phoneticPr fontId="5" type="noConversion"/>
  </si>
  <si>
    <t>变更的需求数</t>
    <phoneticPr fontId="5" type="noConversion"/>
  </si>
  <si>
    <t>初始需求总数</t>
    <phoneticPr fontId="5" type="noConversion"/>
  </si>
  <si>
    <t>阶段名称</t>
    <phoneticPr fontId="5" type="noConversion"/>
  </si>
  <si>
    <t>度量指标</t>
    <phoneticPr fontId="5" type="noConversion"/>
  </si>
  <si>
    <t>度量单位：客户需求中的功能性和非功能性个数（即CR与NCR个数）</t>
    <phoneticPr fontId="5" type="noConversion"/>
  </si>
  <si>
    <t>目的：支持对项目质量、成本、进度的分析和控制</t>
    <phoneticPr fontId="5" type="noConversion"/>
  </si>
  <si>
    <t>度量一：客户需求稳定度</t>
    <phoneticPr fontId="5" type="noConversion"/>
  </si>
  <si>
    <t>需求稳定度</t>
    <phoneticPr fontId="5" type="noConversion"/>
  </si>
  <si>
    <t xml:space="preserve"> XXX度量表</t>
    <phoneticPr fontId="5" type="noConversion"/>
  </si>
  <si>
    <t>修订历史记录（A-添加，M-修改，D-删除）</t>
    <phoneticPr fontId="5" type="noConversion"/>
  </si>
  <si>
    <t>版本　</t>
  </si>
  <si>
    <t>日期　</t>
  </si>
  <si>
    <r>
      <t>A/M/D</t>
    </r>
    <r>
      <rPr>
        <sz val="10.5"/>
        <color indexed="8"/>
        <rFont val="宋体"/>
        <family val="3"/>
        <charset val="134"/>
      </rPr>
      <t>　</t>
    </r>
  </si>
  <si>
    <t>修订者</t>
  </si>
  <si>
    <t>说明　　　</t>
  </si>
  <si>
    <r>
      <t>V</t>
    </r>
    <r>
      <rPr>
        <sz val="11"/>
        <color theme="1"/>
        <rFont val="宋体"/>
        <family val="2"/>
        <scheme val="minor"/>
      </rPr>
      <t>0.1</t>
    </r>
    <phoneticPr fontId="5" type="noConversion"/>
  </si>
  <si>
    <t>A</t>
    <phoneticPr fontId="5" type="noConversion"/>
  </si>
  <si>
    <t>黄文</t>
    <phoneticPr fontId="5" type="noConversion"/>
  </si>
  <si>
    <t>创新初始版本</t>
    <phoneticPr fontId="5" type="noConversion"/>
  </si>
  <si>
    <t>V1.0</t>
    <phoneticPr fontId="5" type="noConversion"/>
  </si>
  <si>
    <t>M</t>
    <phoneticPr fontId="5" type="noConversion"/>
  </si>
  <si>
    <t>付艳华</t>
    <phoneticPr fontId="5" type="noConversion"/>
  </si>
  <si>
    <t>对部分公式及度量指标忧化</t>
    <phoneticPr fontId="5" type="noConversion"/>
  </si>
  <si>
    <r>
      <t>V</t>
    </r>
    <r>
      <rPr>
        <sz val="10"/>
        <rFont val="宋体"/>
        <family val="3"/>
        <charset val="134"/>
      </rPr>
      <t>1.1</t>
    </r>
    <phoneticPr fontId="5" type="noConversion"/>
  </si>
  <si>
    <t>对部分公式及文字描述进行修改,增加阶段人员数据度量</t>
    <phoneticPr fontId="5" type="noConversion"/>
  </si>
  <si>
    <r>
      <t>V</t>
    </r>
    <r>
      <rPr>
        <sz val="11"/>
        <color theme="1"/>
        <rFont val="宋体"/>
        <family val="2"/>
        <scheme val="minor"/>
      </rPr>
      <t>1.5</t>
    </r>
    <phoneticPr fontId="5" type="noConversion"/>
  </si>
  <si>
    <t>增加人员变动信息统计</t>
    <phoneticPr fontId="5" type="noConversion"/>
  </si>
  <si>
    <r>
      <t>V1.</t>
    </r>
    <r>
      <rPr>
        <sz val="10"/>
        <rFont val="宋体"/>
        <family val="3"/>
        <charset val="134"/>
      </rPr>
      <t>6</t>
    </r>
    <phoneticPr fontId="5" type="noConversion"/>
  </si>
  <si>
    <t>M</t>
    <phoneticPr fontId="5" type="noConversion"/>
  </si>
  <si>
    <t>付艳华</t>
    <phoneticPr fontId="5" type="noConversion"/>
  </si>
  <si>
    <t>增加新的度量指标公式</t>
    <phoneticPr fontId="5" type="noConversion"/>
  </si>
  <si>
    <t>重要声明</t>
  </si>
  <si>
    <t>版权声明</t>
  </si>
  <si>
    <t>商标声明</t>
  </si>
  <si>
    <r>
      <t>不作保证声明</t>
    </r>
    <r>
      <rPr>
        <b/>
        <u/>
        <sz val="12"/>
        <color indexed="8"/>
        <rFont val="Arial"/>
        <family val="2"/>
      </rPr>
      <t xml:space="preserve"> </t>
    </r>
  </si>
  <si>
    <t>保密声明</t>
  </si>
  <si>
    <t>本文档（包括任何附件）包含的信息是保密信息。接收人了解其获得的本文档是保密的，除用于规定的目的外不得用于任何目的，也不得将本文档泄露给任何第三方。</t>
    <phoneticPr fontId="5" type="noConversion"/>
  </si>
  <si>
    <t xml:space="preserve"> </t>
    <phoneticPr fontId="5" type="noConversion"/>
  </si>
  <si>
    <t>目录</t>
    <phoneticPr fontId="5" type="noConversion"/>
  </si>
  <si>
    <t>#</t>
    <phoneticPr fontId="5" type="noConversion"/>
  </si>
  <si>
    <t>描述</t>
    <phoneticPr fontId="5" type="noConversion"/>
  </si>
  <si>
    <t>项目属性</t>
    <phoneticPr fontId="5" type="noConversion"/>
  </si>
  <si>
    <t>规模</t>
    <phoneticPr fontId="5" type="noConversion"/>
  </si>
  <si>
    <t>需求</t>
    <phoneticPr fontId="5" type="noConversion"/>
  </si>
  <si>
    <t>工作量分布</t>
  </si>
  <si>
    <t>进度</t>
    <phoneticPr fontId="5" type="noConversion"/>
  </si>
  <si>
    <t>人员统计</t>
    <phoneticPr fontId="5" type="noConversion"/>
  </si>
  <si>
    <t>填写说明</t>
    <phoneticPr fontId="5" type="noConversion"/>
  </si>
  <si>
    <t>项目名称</t>
    <phoneticPr fontId="5" type="noConversion"/>
  </si>
  <si>
    <t>项目选用生命周期</t>
    <phoneticPr fontId="5" type="noConversion"/>
  </si>
  <si>
    <t>项目定义过程</t>
    <phoneticPr fontId="5" type="noConversion"/>
  </si>
  <si>
    <t>应用领域</t>
    <phoneticPr fontId="5" type="noConversion"/>
  </si>
  <si>
    <t>项目类型</t>
    <phoneticPr fontId="5" type="noConversion"/>
  </si>
  <si>
    <t>客户</t>
    <phoneticPr fontId="5" type="noConversion"/>
  </si>
  <si>
    <t>技术</t>
    <phoneticPr fontId="5" type="noConversion"/>
  </si>
  <si>
    <t>软件类型</t>
    <phoneticPr fontId="5" type="noConversion"/>
  </si>
  <si>
    <t>采用的语言</t>
    <phoneticPr fontId="5" type="noConversion"/>
  </si>
  <si>
    <t>采用的数据库</t>
    <phoneticPr fontId="5" type="noConversion"/>
  </si>
  <si>
    <t>项目所属部门</t>
    <phoneticPr fontId="5" type="noConversion"/>
  </si>
  <si>
    <t>项目经理</t>
    <phoneticPr fontId="5" type="noConversion"/>
  </si>
  <si>
    <t>团队规模</t>
    <phoneticPr fontId="5" type="noConversion"/>
  </si>
  <si>
    <t>项目组成员</t>
    <phoneticPr fontId="5" type="noConversion"/>
  </si>
  <si>
    <t>本报告制作及维护人</t>
    <phoneticPr fontId="5" type="noConversion"/>
  </si>
  <si>
    <t>本报告初次填写时间</t>
    <phoneticPr fontId="5" type="noConversion"/>
  </si>
  <si>
    <t>本报告末次填写时间</t>
    <phoneticPr fontId="5" type="noConversion"/>
  </si>
  <si>
    <t>注:蓝色字体是给出的例子，编制时请删除内容</t>
    <phoneticPr fontId="5" type="noConversion"/>
  </si>
  <si>
    <t>方案置信度</t>
    <phoneticPr fontId="4" type="noConversion"/>
  </si>
  <si>
    <t>测试加权缺陷密度 = - 0.921 + 1.31 代码走查缺陷密度 + 0.0513 测试用例覆盖密度+ 0.446 实际测试执行轮次（需做说明）</t>
    <phoneticPr fontId="5" type="noConversion"/>
  </si>
  <si>
    <t>预估算</t>
  </si>
  <si>
    <t>模型公式：生产率= 0.518 - 0.129 需求阶段单位规模工作量 + 0.0607 编码阶段单位规模工作量- 0.183 测试阶段单位规模工作量</t>
    <phoneticPr fontId="5" type="noConversion"/>
  </si>
  <si>
    <t>2015年7月30日之前交付\上线</t>
    <phoneticPr fontId="5" type="noConversion"/>
  </si>
  <si>
    <t>不超过32天</t>
    <phoneticPr fontId="5" type="noConversion"/>
  </si>
  <si>
    <t>不超过3天</t>
    <phoneticPr fontId="5" type="noConversion"/>
  </si>
  <si>
    <r>
      <rPr>
        <sz val="10"/>
        <color indexed="8"/>
        <rFont val="华文中宋"/>
        <family val="3"/>
        <charset val="134"/>
      </rPr>
      <t>≤</t>
    </r>
    <r>
      <rPr>
        <sz val="10"/>
        <color indexed="8"/>
        <rFont val="微软雅黑"/>
        <family val="2"/>
        <charset val="134"/>
      </rPr>
      <t>9.375%</t>
    </r>
    <phoneticPr fontId="5" type="noConversion"/>
  </si>
  <si>
    <t>不超过129.5人天</t>
    <phoneticPr fontId="5" type="noConversion"/>
  </si>
  <si>
    <r>
      <rPr>
        <sz val="10"/>
        <color indexed="8"/>
        <rFont val="华文中宋"/>
        <family val="3"/>
        <charset val="134"/>
      </rPr>
      <t>≥</t>
    </r>
    <r>
      <rPr>
        <sz val="10"/>
        <color indexed="8"/>
        <rFont val="微软雅黑"/>
        <family val="2"/>
        <charset val="134"/>
      </rPr>
      <t>0.3374SFP/人天</t>
    </r>
    <phoneticPr fontId="5" type="noConversion"/>
  </si>
  <si>
    <r>
      <rPr>
        <sz val="10"/>
        <color indexed="8"/>
        <rFont val="华文中宋"/>
        <family val="3"/>
        <charset val="134"/>
      </rPr>
      <t>≤2</t>
    </r>
    <r>
      <rPr>
        <sz val="10"/>
        <color indexed="8"/>
        <rFont val="微软雅黑"/>
        <family val="2"/>
        <charset val="134"/>
      </rPr>
      <t>个</t>
    </r>
    <phoneticPr fontId="5" type="noConversion"/>
  </si>
  <si>
    <r>
      <rPr>
        <sz val="10"/>
        <color indexed="8"/>
        <rFont val="华文中宋"/>
        <family val="3"/>
        <charset val="134"/>
      </rPr>
      <t>≥23</t>
    </r>
    <r>
      <rPr>
        <sz val="10"/>
        <color indexed="8"/>
        <rFont val="微软雅黑"/>
        <family val="2"/>
        <charset val="134"/>
      </rPr>
      <t>个</t>
    </r>
    <phoneticPr fontId="5" type="noConversion"/>
  </si>
  <si>
    <t>1个</t>
    <phoneticPr fontId="5" type="noConversion"/>
  </si>
  <si>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摤摦㘷捥㙤捥㌹晦昵晣晦㤹收㐴㉥㤷晢㌷ㄲ晦㌲攵㤹戹㙥㘹㈳〸愵㌳㌱敢搵㙡戲ㄲ摡㥥ㅢ㑣㑣晢扥戹㌱㙦〷㘱ㅦㅡㄴ捡㌶敡〳扤ㅣ搸て挹㘲㜹㕤晡〱ㅡ改戹㕣戱㘸㘸愸攷㈰晣㡤㈴て〶㝢つ收〱㤶㘷㘷ㄶ㔶ㅥ挰愸㑢愱攷换〳㘳㘷愳扥㐷㈶㈷㈷㈶㈷づ摤㜱昷攴挴挱〳㘳戳昵㕡㔸昷攵ㄱ㔷搶㐳摦慣ㅤㄸ㕢慣慦搴散捡摢攴挶戲㜷㐱扡㐷攴捡挱㍢㔶捣㍢摦㌰㜹攷攱挳搶摤㜷扦㘱㄰慦捥㥤㥡㥤㔹昴愵ㄵ扣㐸㘳敡㥣昲㥤㜳戲㘲㜳㙤㔲晡戶㝢㝥㘲㜶〶晦愵收㡦愷扢㈶㤶㔶愵っ昹㙡改㑢户㈲〳〳ㅤ〷㥣改㈰愸㍢㙢摣㍣挳㌹㡡愵㔶捣㈰搴㥤㔹㔹慢ㄹ㑥㌲㙡搱㔹挰摥搵捣㡤㐱㘷㐹扡㠱ㅤ摡敢㜶戸㔱㜰㤶㌱㔰㜵挸㌹ㄳ挸搳愶㝢㕥㥥㌲ㅤ愹㍢挷敡㜶㌵ㅦ愵㕣摦慤挹㄰改㠹愹攵㑦㑣〷捥散慡改慢ㄹ〵摣㤸㡣戶㐷晤㑡㙢摢㥢扡㡦换愹慢㌷㜰捣㥢扢户㐳捤㔹搳㙦戴ㅣ敦摥㌲㕥㝣敢っ㙥敦摥㍥戵㐷慤㝤㕥摢扤㡦摡捡搶搶㘲㈰愶㙦戵愳㔸㡣㔱㈰攸㈷㈸ㄲ㄰㠱㐶㠹㘰㠰㘰㄰㐰攴晦づ㉥㐹㜷㘴㤵㔶㌶戵昲㡡㔶慥㘸攵慡㔶㤶㕡搹搲捡攷戵昲慡㔶戶戵昲〳㕡昹〲摡㈴愹搸摦慦挵改挹㙢㝥㌱昵捦摦摥㌲晦戵昷晣㙤㜲攵挶挷㍦㌳戸〷㡤敥㡢㈷㌵攷㥢ㄷ㐱㙡㑤㉡㍥㌴㜱㤰晦戶收ち㌰㠵㜵搸扡换㥡㥣慣ㅥ㍥㘸摥㘱敡㕣㔶〶昲㕢〸㘵〴㙤〷慤晢㙤户敡㕤㔴戸扢㙥挶っ㘴㜳攳挶攳扡ㄹ慦敥㔶㠳㔷㙣㕥戹ㄴ㥡愱扣戶扤慥㌹㐸㐷户㈵戰㤵っ搴晢慥㙦敦㜶搶慣搵攵昴㈵㍢慡㝥㘵㕢戵戳攸㝢㉢摤㙢㡦晡昲挱㐶㙤挷㡣愶㈱搴搶搵搸ㅤ慢㡣慡愲㜹㡤捤慥㝡㠱㜴搵昴挶㥤㐵扢㜲㐱晡㑢㤲㈲㔱㔶搵㔲慦㘴㔵捣昵攳ぢ㉥ㄶち㙥慤摥㤸㉥戵敥戹ㄴ㠲㤹㘵ㄵ昳㕤㤳㝥戸戱㙣慥搴攴㔵㉤㑤愲㜷愲㘲㝦㑢昱㔱慦㔲て㘶㍤㌷昴扤㕡㙢捤㜴㜵摤㠴愴愹㥥昴慡㌲㥦捦㈹愱〰㠱摢搷㈷㐴敥戶敥扣愰㄰㤱㐲㌱ㄹ昹㥡㔶戲㥢㌸㡤搵㘱ㄵ㌵㐹㥡搴㕥扤挵㘰㥣慦㤲㌱ㄹㅣ㤸㕡ㄳ昵〷㕦晡㥡㉤㠶㙤㘰敥愵㙤慣㘹愳昱敡敦㔹㤷㙥㜸摣㜴慢㌵改㘷㙡㍦挱ㄹㄹ挳〰晡㘵〸㠴慥扢㐷㔵㈷㉥㠹つ晤愲㕤つ㔷ぢ慢搲㍥扦ㅡ愲っㅡ戲㔸攴搶㜶㈴攳ちㄴㄹ㝢〹㐶〱㑡愵㕣㘱ㅦㅢㄵ㑡㐸㌹㥤搲㈹㠳㤷㕢〴㌹晢戵昰昲愰㜵搴慥㠵㌲ㄲ捡挳ㄶ㌰ㄲ㘹㌵㠵扥㈱㤲愸㙦㔶㈲㠵戱捦㥡〵㤵㥡戶ㅢ㙥㌴昹戶㠳㑢㈲㈲摡㤵〵㍢㑥ㄶ㔰ㄴ戴捡㠳っ㕥〳搱戴㐹㠳散挶㈹㈲㈲ㅢ㘴㘸㜶㡣摣㑡㘴㙣㥦㈱㈳搰㍥㑤㠴㙣㝤戰扢㡣㈰戱㜷ㄲ㈹㍢㜵攵挷㕤㘹戶㤹㉤ㅦ㐹戳㉢戱㜱挶㔵〴㔷ㄳ㕣㐳戰ㅦ㐰晣ㄱㄲ㡥㔲づ昹搶㘴扣〲捦挶㜵〴慦〴㠰㝣㌲㈸㜳㘲㔱㐵ㅢ㙡㍢㜶㈴摢つ挱㑥㔶㐶㜱㈴㡡㘸ㄹ㌷散捣㈱㐷㈱㍡戶㍡㜷㠶慥捤㉢ㅤ㝢㑢㜷摡㑣㉦㠷ㄴ㤹搱㌴扤搶㉤㥡愶㌷㠲㑤㝢搴㕢㌷愰慢㌱㐶昰㉡㠰㤲㜱㈳㈱㤴ぢつ摥敤㔹昴㌴㈹㕦ㄶ㘶㔱㘴っ昵愸攰㘳㐲收ㄱ㈰㐳挸㜵ㅣ㕦㜶㙤㘸㥡㠳攳搶换摥㠶㍥搰㥤扦㘳愴户改捤㕤扤㐳㝦搱昳戴愲㙦〲㝢㠹摦㜴搵㌱㌷愳摡戸㠵攰㔶㠰㌶ㅤ挳搳昷昳昵ㄴ㈸戳搸㐹㘱㙥㉦扤㉥捡捡㕤摥㔸㤳㑡〳つ㕡换愶㝦㕥㠶昰㘰㥣㤸㠳㉤散昹扥慣攱㔰㕢㔵〵㍣扦㕣摤㕡ㄸㅣ昵㍤㠷攵扢㌶㜲昰戲㔰っ昹扣搶㤷㙢戳㤱㌳㙣捤㤴捦㈹㐵㌹搴挱㜷㜴ㄷㄲ愹㑥慤攴挵㝥搹攷换㕤㐹搲㠳㈴㜹㉤戶搵戸つ〰㔲㐲晣慡慢㐴㌹挰㘶慦㔳捤㕡㉤㔶㝡昸㌲㑥㈷㙤㍥挴づ㌹㌲㄰㌹㙣㘷攰㍦〸㠶㥣㈵摢㘹〸㡢〱㘷㔱晡ㄵ昸ㄶ散㥡㉣㐵㙥㔹㡡㥡㕤㔹昱㌲㤱ㄵ㝤㝤ㅤ攷改っ晦㥡愲㤳㌶㈹㤱挹敤㤹㤵ㄹ㘷昱㈶㔱搱つ㐹愱㤲攱ㅡ㙡㐸㈰㔲ㅥ摢敥㡡㤸ㅥ㐴捣敤搸㌸攳㈰挱㈴挱㈱〰晤㘷㤰㌴摢摤㜸㠶挳晡搷改搲㉥㤷㜳㐵愲㐱戹〸㥦敤㉡慣づ昳㌵慦㈷戸ぢ愰捤晣愱〳㌲㠳㄰ㄵ捡㔳㠴愸挲ㄸ搶㔹㕢㕥㈴つ散戱㄰㔸㥡慤〷愱攷㌰戲㌴㘴捤㜹愷扣㜰捥づ搶㄰㠹ㅡ戵攲捣晤慢搲〵㜵昹戰㝤摡捡扣戵㌵㔹㌵慣㈵慦づ搱㜶㘲㙥㈷ㅣ捣戱ㅤ戰㈵搵搹㕣ㄳ㐸扤㥤㡦㌱㠴挰㑥㉢㝦㉢扤戱摢昲㝥昳搰㌷摣摣搱㘵㍢慣挹〱㉢㘲㍡收㡢ㄶ㜶ㄱ㤱㠳㙡扦戵扣敡㑢㌹㌷㘴ㅤ昳敤㙡捤㜶㈵㤱〱ㅢ㤳挱扡㜹㜹ㅥ㔱㠲㐵㡦㌱㐰捦ㅤ戲㤶㝤搳つ搶㑣〶ㄴ㌷昶戶㍣愹戰㠸㙥捤搸㙥㠰搷㈸㉣㌲㍦㙣㉤慤㝡ㄷㄱ戱慤㍢敥㌱㜳㉤搸ㄱ㔸㈱搱㐷㐹愱㐶㘸㐲搳㐴㔱㉢昶㡡ㅦㅥ挸㜳㌹昲㕥㥥㐰攱㉡愷搳㘷㥥愱扤㘹搷挷㌱ㅡ摡改㥣搳㈰愲㐷㡤挲扥㑣㈹㑣㑥㌵敥㘶㥦㌷〲摣㝢散捣㠹㘶㘴敥〵挵慣㜵㝡昹㌳㘴扣㈲㡢㐶㈰㠴㍥扡㍤ㄱ愹戰㡣㤴〳づ〴挶昹搴㑥㝥㈵㑢戵㈱昵敤㘹㘶㡦㈲㤲㌴㘸捤㥢㉢戲㠶㜸戴㘳㠶㝢愲〷㥡戱㡥㔹ぢ攲扡㔹捦㜱㑣㤲ㄶ挹㜲愹㘲㤲㠲愷敢愱㜷搲㜶つぢ㐰搱㕦㕣㘴㕥㐲㤱㜹㐹ㄵつ㕡愷ㄹㅡ㔴㜹㡥攵㥤㌷㝤㍢㕣㜵散㑡㤱てっ摦敤〸㥡〴㤳㔳昲㈶㈹㤱ㄹ㘳㙤搶晣ㄹ㤸㙣挱〴搰㍤〱㌹捡慤㈳晡㐱戹㥡㈸攰㥦攸搱戱〴〱愳㍣愵挶㥢㌱㥡慥㙥㐷㐰攴愸㜴㌹戹㠳㜱昹ㄱ㤴㐴㐲㠸㔸捦㈰ㄱ㜸〵㔳㐲㥥㉥敥㠲㜵挶戵㐳㘰㡦ㄸ㍢㙡㠷㜳〱㔰づ㠰慣㍡摥㕥慢戰㥡敡㌴摥搰ち㌷㜴㔶戵愸㠹敢㍢敢搳㝡攳搵㥢㔴㐷ㅡ㈵愵㐸戶㙡愴㌴换㈶㜳摣㐹慡㐶㈸挵㥤㘸ㅢ㤱攵㌶㙤敥㍢愵挸ぢ㔰㑣㡡㘶㜲挶㕢ㄴ愱㈰搰ㅢ敢㈸晡散戳挹㈳ㄵ戱愱つ㔰愲㥥㡡捡㠶攲㤰攰〹㕣㍢愹捡㔲晣〴晥摥ㄳ㘷ㄷ敡㘱㑢㡤㜹㘹㌴慥㤹慥搵ㄶ㕣㔸〹ㄵ搳慦敥㄰㤶挶摡㈲つ愳戸戳㔷敤ㅦ㙤㙦㡡ㄱ㘳㌶㘴㔸㈴挳てっ㌶〴㜳愵㈲慡戴捥㠶戸搵㡤攲㈲㥦㑥㑡搳㔵ㄸ㔸ち慢㜳㜲㕤㤹㘱㑤㑢㝥㔴㜵㘸㥣ㄶ㤵ㅣ㌵慣改㤵〰㉡㍤愴ㅣ㡦㜳㡡挱つ敢㌴摤㔲戸挴〰戱ㅢ攷ㄶ㉢㈱㐲扢㡤〱㜸㌲搸㌹搸挱㡥㐴愱ㄳ㕡㘷㤴愰㠵っ挲㙤㕤〴㜹愷㐷㡣㐲㤰㕡㉡晤㜵㑡㝣昶㈹愶慦㑥攵㤲㑣捣㐴っ㜷㘵㔸て㐰㙥㍡㌲㐹㉥ㅡ㑤〲收㤱㘴㔳㐲㙢㌰㈹愳㠹㌱㐴㤳捦て㜱㡢㠷戱慣㘱戲㑤つ昷摣㐲ㅢ摡戴戶戱挷㍡攱㔶㙡昵慡㔴慡㌸㤱搵㑡㈳敦〸㝣愹㉢㠰ㄱ㌷㘵散㑢扣㈹㈷㜰㤴攲㤲㠹愴摥敤㙥㘳ち摤㤵㤰挳ㄸ㤱敡㘳〰㌲挳㉤愷〲㘲ㅤ昷ㄴ㘸ㅦ敥㙤㕥㘰㔰㤷攷㈰搲㍡㡡㈸换收㜱ㅦ慦ㄱ㐵㔶摣㤶㙡㌶敦捤㝢戴搹㔳㐵挷敤愸㘸㐷攰〸敢㡣〴㕥愱〰㘳愴㐷敥攰㈰戹换㜱㜴昷昲㈳敡㌱㜷ㄹ愸㔰ㄸ㄰㡣昱昲ㄴ㤴挳慥㠲㤱㘸㜰㙢㑤慢㕢㌰晡㑢换摢㤸〶㄰っ〳搳愰㐵换挸挰㤹㐵㝥㙢〳攷〶戴捡㠸㤰愶㠳愹㡣㔱㡥挲㘱て愴㠱㥢㜸㤰㕥昶愰㠴挲㝤敡㘲㔸㜲㌷㜱摣挱ㄱ挸昳慦㙡㉢㕣㌴㐳㕣㝦㜱昷户ㄵ㑦㔷慢㌴㜷攱㥦摢ㄱ㔸挵搵㡤挸ㅣ摤搷㜶㈹㑢慤㠹昶摤㑤㙤ㄵ昱㘵挱㐳㜳ㄳ挷捤戰戲扡ㄴ㙥㐴ㄷ户㝡㈵〹晤〷昰㐷㙣晡㜶摡捣㜹㤷ㄷ㔱搷戹昷愵ぢ慥㜷搱㔵昳搲〳摥晡〳㠵攰ち㘵㍦㈷㔹捡晤ㅢ晦㔴搲㜲晡昷㌱攲㜶愶捤〱㥡づㄲ㡥愳㔲㈴つ挶㤰捦愰ㄳ搸敥㡤㕢〳愴㤳㝤㙤㜴愲〴挱㉥愱戸攷㕦㌴㐲ㄱ摦〳㕡㐹㉣搱㤱ㅣ㝢晥ㄵ戰扥昸㉥㑡㠸㜰㍣挷㘲㐴㝦ㄵ㜲ㄹ愸㔳㠲㍣扥攲挱ぢ㈱晦㍦㔸㑡戸㜹㔳㜶晡㉦㌰戳昸㑥㍢㡡慥㈷㡡扥摤㠱㈲挱㙢㈰㡡㝦敦㐵㈶㐹㍡挳戳捦㉢㄰捥㌵敤ㅥ㐰㕦昲ぢ扦晦挳〳攸㝣㑣ㅣ捡㐶㐳愸敤㘶㍣㌷㑣㠴扥づㄳ㠱挱㝢㘵㈲㥣㐴㐶㌰㡡ㅦ㤹〸戱て㘴〱〵㕢㥢〸㡣敤㘵ㄸ㠲愹㔰㙢捡慤挱ㄳ搸㔵づ晤㘳挷㜱昱㔶〶㠸攷㐳㘹〵戳昰㐸㕤摤㔹扣㘸晡愶戳㕦㤵ㅦ昳㈵㤴㤹扦㡣㥢摣慡ぢ㝢㕣扢㘹㡤敡戴㠹慦㈲昱戲敦晡㔳戶㜷㝦ㅤ㤸㡡㔲攴扥ㄷ㐵㔱㜸〱㥥ㄲ挱㜳㐳敥扤晢扥㜶散㜷て㍤㌶挵摢㙡㌱慤敡户㈱摦㑢挸㥥昶〴㠲扡愹㡢㈲㔷昲挳㥣㤳昸㐴挹㕥慢挹ㄹ搳㔷㔶㔰㘰㌸㐹㌶㈲扣ㄴ㘱㐶挴户ㄳ㑣㑣摣㝢㠸㑣捣㠹㌶㜷愷晡戰㐹戹〸㈷㔲ㄳ㔷㍥扤㈴㙣㈸扡㉡戲ㅥ慤㑤晤ㅢ㔰㐵捦㜳㈲慤㔶㈲㑦㥤㑣㐲㝣扤㕤搷ㅤ愶慥㡢づ㌲っ晢㈷㔲ち昱〷㔲㐸晡㈰挳ぢ〱㑡㑡㥤㐶㐶扦ㅤ㈰㈳戲搶ㅥ攲愵㍦㘰㔷〸挸挶愵扦ㅥ㍦㘲挱㉥〲㡢㠹㉦扥搷ㄳ㉤㙤搱㐴㌵㌱㔴慢㙣㥡㈵㘴搴攱㠵〵㤳㐹改㌲㌲㐹搲て㈱户㙤㜷ㄴ㕦㌲攴㐴㠱户㠸戱㜵㠷扥戶㤲㜳㡦㕢挷捤て攸㤹㠲㔲ㄸ敥㕥ㄶ攳㐰慡㘲㜴㔱搳㔲㔴㐴㌸ㅣ㘵ㅢ㥤〶攲㉡攸㉣㜷㍦㑥愵〸晥昱㑢㈱搶㡦㌷㠷扥戲扤㠶㍡捥敤挷〲昹㠳晤㜵㝤〶㘳攳慤攴ㄸ㐸搸㙤戵㉡㐶搷挳捦愰ぢㄷ㥤ㄳ㐶㌳慢㥥挵㘱晣㐹㌸慢㑦敢搰晦㡣㕥㉢捥㍡换摥っ㘳户攸晦户愳㘰㑢晤㉦ㄸ㝢㔳㠸㝣㐷㥣攱㠳捥昸挹㤶㈱ㅢ敥〸㍣摢〸摥愸㠳戱愱戲っ㜹㐷戹㈵㝣扣ㅡ㔵㉢〹づ扦㔷扥晤㙡㐴愳㉦㙤摢㠱慥〲㤰戱㈱晤㉢㄰㐱㕤晢户捡慤攴㜴㕢㜸㈷㍡敥㍢㘹㔷㝣㉦昰慣㜰㙣〹㐱摦㌱㝥㝢㘶挱收㤹ㄶ㕦㙥ㄷ㙡㌷㘱㈷〶摦㡤㍥愷ㄶ㈰戰㑦挹昰挵㡡㐵㌲戲戰扤㐸〶扦㐳ㅡ㐹㠵㤷愸ㅤ㠲㉢慣晢敡㘶つ㥦慥㉥挰搷ㄹ戲㘸㐷㈸扢挸攳摣㝥㐳㠳㕢㠷㍢㕡㙦㠳㍦㐸搶㈶㄰ㅣ㔳㑢㜸攷扢戹慦敤㝢搰摡㌶㕥㕢挰㤶扤昹摣㑡晡㌳挰改昶摥搲㑡㌲㝣㈷扦㐸㉥ㄹ㘵㐲㕣摡㥦挲摦敤㍢㘸㌹摡㈸攸㍣晥愰㥢㡥戰昱ㅡ摣㘷摢㠸㝥㥦㐳㔷㌱㑤㠰㥦㘱挶ㄹ㍥〸㝡昹挸㡡攲ぢ㔸ㄶㄹ〰昹㕣愱〲搰㥤慡㥦摥㡣慡㐷敥㘵㑦㈴挱㌳〶挹戱㈴㍥㠷㠶摣慥㘸搹㘰〹㉥㕢愸戳〴昲㐶搲〳昹㥣攰㔹㐲㑤攴㌳攸搰㤸㠸㡤搲敥ㄳ昹昴㘶ㄳㄱ戴〲搴㐲搳攳㡦㈴㕡挴愸愱摡㜰〸㕣〲て㘰㈴㔱㈶挳㤴㡦ㄴ㍡㠵㈸挶昰㕤愲〸改攷昱摦攷愶㝥昶㉣搳㕦愶㠴㤲㠸愸㙡㕤〵㈵愲㕡挵㈷搲慢昰㔱摡㝤ㄵ㡦㙦戶㡡ㄱち㑢捥挴〸〱㠶晡㐴ㄹ㝦搴慡敡挸㜰㐳昹ㄳ攷〸昰㙢㤹挵㠸㠹ㄲ搵昷㈲㌲攸换㥤㔷慤㉥㈱㤳昴搵戹ㄱㄹ㕦昹㈸㐳㠹㌷㈲改搴㈹㐴㕥搹㐲愴ㅥ㡢㑥散㡥摤ㄱ㐲〲㑢攲㘷戳㕤㘵㝢愱挷㔰扦昸㔰㠲㤸攳挷㤳㑦愸戴㌸昸〴挲㠸㑣㔳ㄲㄲ㌷㔲㝣㌰㘹晣捤㙦㌵㝤愷愸㐰〲昵㐴㡤㐹㜰慡昱〷㤲挶㠷昰㜹㤶㙡㤳攳㔵〲愶攷㤲挶㈴㑣搵昸戱愴昱㥦て敤㙦㌴㑥攸㌰ㅡ㔹㈷㤱㘴ㄸ扤敡ㄸ㤰晡㔴㝢ㄸ捤㜵㡢㡡㜴挰㡡㡡㈹㐲㔵っ戹愶㔴改㈰㙥㠵昸昸㔸㝡ㅥ㤷㥣㜰ㄷ〴搲㌶晡㝦㈶㥣挰攵愷㌹㌳㌴昱㉤昴㍡愲捥扥愱㥥搸戹㘰㉤昸㈸攸户㑥〴㌸㕣㔵㜷ㄴ㠹挰㉥挸㐷晢扢㠵㜷㍥挳㠶㙣敥㐷ㄲ㉤搳㜸㤹愴㌷㉤愲㈲㉣㜹昱扥〴戳戹㐷㥢㌴㘳㍣〲攴㐰㑣〲㌲㘳㍣ちㄸ㐵㘴昶戱㘰㠴晣慦㤸晢㝤慣㜸㍦挱㘳〰㈵㐱㘶㈷ㅤㄴ㍥〰㌰㥣晣ㅦ㉢挶搶㤵攳㐴ㄳて㈵㉦㑢㤳㤱昱㈱㜶昸㌰㐰ㅦ晣戸㈲㈶挲㤲昱ㄱ㤴愴㕦㑡挱愱㕥晡㔱㔶㝣㡣攰㜱㠰㤲捥挹㙥㝢搷戸愶ㅥ㔵搸挷搱㔵㍣㑡㠰㥦昱㠹㌸挳〷㥤晢昰愶敥㐶㌳捦挴挹ㄷ晥㠸㜹戶㝣捡㝦て㍥捤摦攰愲晢昰㝦㈶搱㤵㠵㥦搷摥搸摢㔸㘴〲ㅡ攷敡户㠶捤㝥〱攳㜰㕤捤㔰ち㐷愴㔲㈹㙡〵㐱㝣㜳挱挲挳ㅢ昸㤶㈳慡㐲〸搲㠰慡㜰攳㡡㈹ㄴㄸ㑦戲㈹㜱㑣㍣ㄹ㥦攴ㄳ㔱慢㌶昱㔳㜱㠶て㠲㜸㔵摤ㅦ㠸扢㈷㉦㈴慥㔵㠵摤昶㐲攲㕦㔵慣愶㕦昸ㄴ〷㔳挸㐲愶㔵㉢ㄱ㘹㡡㠶㍥㠷捣㔰摦㌰攷㜶㍦㝥摡㈵㔱㌹㔷㍤㜷敥ㅦ挳昹戱㙢昳㙦㝦敢攰㔳捦晤昴昷㑦晣昲㕤㐷晥昴慦愷㥦晥攵ㅦ㥥㜸昶㕦㍦㔸㌹昲攳㘷㥥昹搱扤㕦㝣昶昷㝢慤㉦㘹摦晡挷晣㤷ㅥ㥥扣昰昰㠳搶㤹摢㡥㍤晣㡥〷敥㥢㕣扣㘲扣慦慦扦晦搶搱㥦㕣昳㥡㤱㐷ㅦ晣㡥昸攱慦慦㜶㠵㕡㉥㕥搰㍡つ㉥㕢㑤攳昳挸㘰ㅡ㥣昱㑢㍡つ㉥㔷㙤搴㑡扣㔱㌳㈸㈸挲戹挱〹愸ち戳戵㘲攰㍦〰晡戳㡤</t>
    <phoneticPr fontId="4" type="noConversion"/>
  </si>
  <si>
    <t>Decisioneering:7.0.0.0</t>
    <phoneticPr fontId="4" type="noConversion"/>
  </si>
  <si>
    <t>CB_Block_0</t>
    <phoneticPr fontId="4" type="noConversion"/>
  </si>
  <si>
    <t>㜸〱敤㕣㙢㙣ㅣ㔷扤摦㌳摥㔹敦慣敤搸㡤搳㐷㑡㘹㕤㑡㈹搴挱㡤㤳㠶㔲㈰〴㍦㥡挴挵㠹摤搸㐹㐱㠰㌶攳摤㌳昶㌴㍢㌳敥捣慣ㄳ㤷㑡慤愰愵㈰㕥ㄲ㉦㔱㈸昷愲敡ち改㝥戹ㄷ扥㜰攱挲ㄷ㈴〴〸ㄵ挱〷昸㠰〴㔲㜹〸㠴㐰㈸ㄲ㕦昸㠰〴扦摦㤹㤹摤搹㕤敦搸摤戶攰㈲㥦㜴晦㍥㜳㕥㜳捥昹㍦捦晦㝦愶㌹㤱换攵晥㡥挴扦㑣㜹㘶㙥㕡摡っ㐲改㑣捣㜸戵㥡慣㠴戶攷〶ㄳ㔳扥㙦㙥捥摢㐱搸㠷〶㠵戲㡤晡㐰㉦〷昶㈳戲㔸摥㤰㝥㠰㐶㝡㉥㔷㉣ㅡㅡ敡㌹〸㝦㈳挹㠳挱㕥㠳㜹㠰攵㤹改㠵㤵㠷㌰敡㔲攸昹昲搰搸㠵愸敦昱挹挹㠹挹㠹㈳㐷敦㥤㥣㌸㝣㘸㙣愶㕥ぢ敢扥㍣敥捡㝡攸㥢戵㐳㘳㡢昵㤵㥡㕤㜹愷摣㕣昶㉥㐹昷戸㕣㌹㝣㜴挵扣晢捤㤳㜷ㅦ㍢㘶摤㝢敦㥢〷昱敡摣搹㤹改㐵㕦㕡挱㑢㌴愶捥㈹摦㍤㉢㉢㌶搷㈶愵㙦扢慢ㄳ㌳搳昸㉦㌵㝦㍣摤㌳戱戴㈶㘵挸㔷㑢㕦扡ㄵㄹㄸ攸㌸攰㑣〵㐱摤㔹攷收ㄹ捥㐹㉣戵㘲〶愱敥捣挸㕡捤㜰㤲㔱㡢捥〲昶慥㘶㙥づ㍡㑢搲つ散搰摥戰挳捤㠲戳㡣㠱慡㐳捥昹㐰㥥㌳摤㔵㜹搶㜴愴敥㥣慡摢搵㝣㤴㜲㝤㜷㈴㐳愴㈷愶㤶㍦㌱ㄵ㌸㌳㙢愶慦㘶ㄴ㜰㘳㌲摡㥥昴㉢慤㙤㙦敢㍥㉥愷慥摥挰㌱㙦敦摥づ㌵ㄷ㑣扦搱㜲扣㝢换㜸昱慤㌳戸慢㝢晢搴ㅥ戵昶㜹㐳昷㍥㙡㉢㕢㕢㡢㠱㤸扥搵㡥㘲㌱㐶㠱愰㥦愰㐸㐰〴ㅡ㈵㠲〱㠲㐱〰㤱晦ぢ戸㈴摤㤱㔵㕡搹搴捡㉢㕡戹愲㤵慢㕡㔹㙡㘵㑢㉢慦㙡攵㌵慤㙣㙢攵㠷戴昲㈵戴㐹㔲戱扦㕦㡢搳捡㙦㥥㉣摤㝡攴挷㜳ㅦ晥攵昷晥戰晡㠳愳㈳㠳晢搰攸㠱㜸㔲戳扥㜹ㄹ愴搶愴攲㈳ㄳ㠷昹㙦㝢慥〰㔳㔸挷慣㝢慣挹挹敡戱挳收㔱㔳攷戲㌲㤰摦㐲㈸㈳㘸㍢㘸㍤㘸扢㔵敦戲挲摤㑤搳㘶㈰㥢ㅢ㌷ㅥ搷㑤㝢㜵户ㅡ扣㙡敢捡愵搰っ攵㡤敤㜵捤㐱㍡扡㉤㠱慤㘴愰摥㜷㜳㝢户ぢ㘶慤㉥愷慥搸㔱昵慢摢慡㥤㐵摦㕢改㕥㝢搲㤷て㌷㙡㍢㘶㌴〵愱戶愱挶敥㔸㘵㔴ㄵ捤㙢㙣㘶捤ぢ愴慢愶㌷敥㉣摡㤵㑢搲㕦㤲ㄴ㠹戲慡㤶㝡㉤慢㘲慥ㅦ㕦㜰戱㔰㜰㙢昵㌵改㔲敢扥㉢㈱㤸㔹㔶㌱摦㜵改㠷㥢换收㑡㑤㕥搷搲㈴㝡㈷㉡づ戶ㄴ㥦昴㉡昵㘰挶㜳㐳摦慢戵搶㑣㔵㌷㑣㐸㥡敡ㄹ慦㉡昳昹㥣ㄲち㄰戸㝤㝤㐲攴敥散捥ぢちㄱ㈹ㄴ㤳㤱㙦㘸㈵扢㠹㜳㔸ㅤ㔶㔱㤳愴㐹敤戵摢っ挶昹㉡ㄹ㤳挱㠱愹㌵㔱㝦昰愵慦摦㘶搸〶收㕥摥挶㥡㌶ㅡ慦晥扥つ改㠶愷㑤户㕡㤳㝥愶昶ㄳ㥣㤱㌱っ愰㕦㠵㐰攸扡㝢㔴㜵攲㡡搸搴㉦摢搵㜰慤戰㈶敤搵戵㄰㘵搰㤰挵㈲户戶㈳ㄹ搷愰挸搸㑦㌰ち㔰㉡攵ち〷搸愸㔰㐲捡改㤴㑥ㄹ扣摣㈲挸搹慦㠵㤷〷慤㤳㜶㉤㤴㤱㔰ㅥ戶㠰㤱㐸慢㈹昴つ㤱㐴㝤戳ㄲ㈹㡣〳搶っ愸搴戴摤㜰戳挹户ㅤ㕣ㄲㄱ搱㥥㉣搸㜵戲㠰愲愰㔵ㅥ㘴昰ㅡ㠸愶㑤ㅡ㘴㌷㑥ㄱㄱ搹㈰㐳戳㘳攴㔶㈲㘳晢っㄹ㠱昶㘹㈲㘴敢挳摤㘵〴㠹扤㤳㐸搹愹㉢㍦敥㐹戳慤㙣昹㐸㥡㕤㡢㡤㌳慥㈳戸㥥攰〶㠲㠳〰攲㜷㤰㜰㤴㜲挸户㈶攳㔵㜸㌶㙥㈲㜸㌵〰攴㤳㐱㤹ㄳ㡢㉡摡㔰㍢戱㈳搹㙥〸㜶戲㌲㡡㈳㔱㐴换戸㘱㘷づ㌹ち搱戱搵戹㍢㜴㙤㕥改搸搷㜵愷捤昴㜲㐸㤱ㄹ㑤搳㙢摤愶㘹㝡㈳搸戴㐷扤㜵ぢ扡ㅡ㘳〴户〲㤴㡣搷㄰㐲戹搰攰摤㤹㐵㑦㤳昲ㄵ㘱ㄶ㐵挶㔰㡦ち㍥㈶㘴ㅥ〱㌲㠴㕣挷昱㘵捦㠶愶㌹㌸㙥扤攲㙤攸㐳摤昹㍢㐶㝡㥢摥摣搳㍢昴ㄷ扤㐰㉢晡㌶戰㤷昸㐵㔷ㅤ㜳㍢慡㡤搷ㄱ摣〱搰愶㘳㜸晡㝥愱㥥〲㘵ㄶ㍢㈹捣敤愷搷㐵㔹戹换㥢敢㔲㘹愰㐱㙢搹昴㔷㘵〸て挶摣㉣㙣㘱捦昷㘵つ㠷摡慡㉡攰昹攵晡搶挲攰愴敦㌹㉣摦戳㤱㠳㔷㠴㘲挸攷戵扥㕣㥢㡤㥣㘱㙢愶㝣㑥㈹捡愱づ㍥摡㕤㐸愴㍡戵㤲ㄷ晢㘵㥦㉦昷㈴㐹て㤲攴つ搸㔶攳㑥〰㐸〹昱戳慥ㄲ攵㄰㥢扤㔱㌵㙢戵㔸改攱换㌸㥤戴昹㄰㍢攴挸㐰攴戰㥤㠶晦㈰ㄸ㜲㤶㙣愷㈱㉣〶㥣㐵改㔷攰㕢戰㙢戲ㄴ戹㘵㈹㙡昶㘴挵㉢㐴㔶昴昵㜵㥣愷㌳晣㙢㡡㑥摡愴㐴㈶户㘷㔶㘶㥣挵㥢㐴㐵㌷㈴㠵㑡㠶㙢愸㈱㠱㐸㜹㙣扢㈷㘲㝡㄰㌱㜷㘱攳㡣挳〴㤳〴㐷〰昴ㅦ㐱搲散㜴攳ㄹづ敢摦愰㑢扢㕣捥ㄵ㠹〶攵㈲㝣慥慢戰㍡挶搷扣㠹攰ㅥ㠰㌶昳㠷づ挸っ㐲㔴㈸㑦ㄱ愲ち㘳㔸ㄷ㙣㜹㤹㌴戰捦㐲㘰㘹愶ㅥ㠴㥥挳挸搲㤰㌵敢㥤昵挲㔹㍢㔸㐷㈴㙡搴㡡㌳て慥㐹ㄷ搴攵挳昶㘹㉢昳搶搷㘵搵戰㤶扣㍡㐴摢摣散㙥㌸㤸㘳㍢㘰㑢慡戳戹㈶㤰㝡㍢ㅦ㘳〸㠱㥤㔶晥㔶㝡㘳㜷攴晤收愱㙦戸戹愳换㜶㔸㤳〳㔶挴㜴捣ㄷ㉤散㈲㈲〷搵㝥㙢㜹捤㤷㜲㜶挸㍡攵摢搵㥡敤㑡㈲〳㌶㈶㠳㜵昳㜲ㄵ㔱㠲㐵㡦㌱㐰捦ㅤ戲㤶㝤搳つ搶㑤〶ㄴ㌷昷户㍣愹戰㠸㙥㑤摢㙥㠰搷㈸㉣㌲㍦㙣㉤慤㜹㤷ㄱ戱慤㍢敥㈹㜳㍤搸ㄵ㔸㈱搱㐷㐹愱㐶㘸㐲搳㐴㔱㉢昶㡡ㅦㅥ挸㜳㌹昲㕥㥥㐰攱㉡愷搳㘷㥥愱扤㘹搷挷㌱ㅡ摡改㥣搳㈰愲㐷㡤挲扥㑣㈹㑣㑥㌵敥㘵㥦户〰摣㝦敡晣㕣㌳㌲昷愲㘲搶㍡扤晣ㄹ㌲㕥㤱㐵㈳㄰㐲ㅦ摤扥㠸㔴㔸㐶捡〱〷〲攳㝣㙡㈷扦㤲愵摡㤰晡昶㌵戳㈷ㄱ㐹ㅡ戴收捤ㄵ㔹㐳㍣摡㌱挳㝤搱〳捤㔸挷慣〵㜱摤㡣攷㌸㈶㐹㡢㘴戹㔴㌱㐹挱㔳昵搰㍢㘳扢㠶〵愰攸㉦㉥㌲慦愰挸扣愲㡡〶慤㜳っつ慡㍣挷昲㔶㑤摦づ搷ㅣ扢㔲攴〳挳㜷扢㠲㈶挱攴㤴扣㐹㑡㘴挶㔸㥢㌵㝦ㅥ㈶㕢㌰〱㜴㑦㐰㡥㜲敢㠸㝥㔰慥㈶ち昸㈷㝡㜴㉣㐱挰㈸㑦愹昱㌶㡣愶慢摢ㄱ㄰㌹㉡㕤㑤敥㘰㕣㝤っ㈵㤱㄰㈲搶㌳㐸〴㕥挱㤴㤰愷㡢扢㘰㥤㜷敤㄰搸㈳挶㑥摡攱㙣〰㤴〳㈰慢㡥户㌷㉡慣愶㍡㡤㌷戴挲㉤㥤㔵㉤㙡攲收捥晡戴摥㜸敤ㄶ搵㤱㐶㐹㈹㤲敤ㅡ㈹捤戲挵ㅣ㜷㤳慡ㄱ㑡㜱㈷摡㐶㘴戹㑤㥢晢㑥㈹昲㈲ㄴ㤳愲㤹㥣昱㜶㐵㈸〸昴挶㍡㡡㍥晢㙣昲㐸㐵㙣㘸〳㤴愸愷愲戲愱㌸㈴㌸㠷㙢㈷㔵㔹㡡㥦挰摦晢攲散㐲㍤㙣愹㌱慦㡣挶㌵㔳戵摡㠲ぢ㉢愱㘲晡搵㕤挲搲㔸㕢愴㘱ㄴ㜷昶慡晤愳敤㑤㌱㘲捣㠶っ㡢㘴昸㠱挱㠶㘰慥㔴㐴㤵搶搹㄰户扡㔱㕣攴搳ㄹ㘹扡ち〳㑢㘱㜵㔶㙥㈸㌳慣㘹挹㡦慡づ㡤搳愲㤲愳㠶㌵戵ㄲ㐰愵㠷㤴攳㜱㑥㌱戸㘱㥤愳㕢ち㤷ㄸ㈰㜶攳摣㘲㈵㐴㘸户㌱〰㑦〶扢〷㍢搸㤱㈸㜴㐲敢㡣ㄲ戴㤰㐱戸慤㡢㈰敦昴㠸㔱〸㔲㑢愵㍦㥦㄰㕦㜸㥡改扦㑦攴㤲㑣捣㐴っ㜷㘵㔸て㐰㙥㍡㌲㐹㉥ㅡ㑤〲收㤱㘴㔳㐲㙢㌰㈹愳㠹㌱㐴㤳捦て㜱㡢㠷戱慣㘱戲㑤つ昷摣㐲ㅢ摡戴戶戹捦㥡㜳㉢戵㝡㔵㉡㔵㥣挸㙡愵㤱㜷〵扥搴ㄵ挰㠸㥢㌲昶㈵摥㤴㌹ㅣ愵戸㘴㈲愹㜷扢摢㌸㠱敥㑡挸㘱㡣㐸昵㌱〰㤹攱㤶㔳〱戱㡥㝢ち戴て昷㌷㉦㌰愸换㜳㄰㘹ㅤ㐵㤴㘵昳戸㡦搷㠸㈲㉢㙥㑢㌵㥢昷收㍤摡散愹愲搳㜶㔴戴㉢㜰㠴㜵㐶〲慦㔰㠰㌱搲㈳㜷㜰㤰摣搵㌸扡㝢昵㌱昵㤸扢ち㔴㈸っ〸挶㜸㜹ち捡㘱㔷挱㐸㌴戸戵愶搵㉤ㄸ晤愵攵㙤㑣〱〸㠶㠱㘹搰愲㘵㘴攰捣㈰扦扤㠱㜳ぢ㕡㘵㐴㐸搳挱㔴挶㈸㐷攱戰〷搲挰㑤㍣㐸㉦㝢㔰㐲攱〱㜵㌱㉣戹㥢㌸敥攰〸攴昹搷戵ㄵ㉥㥡㈱慥扦戸〷摢㡡愷慡㔵㥡扢昰捦敤ち慣攲敡㐶㘴㡥ㅥ㘸扢㤴愵搶㐴晢敥戶戶㡡昸戲攰㤱搹㠹搳㘶㔸㔹㕢ち㌷愳㡢㕢扤㤲㠴晥㙤昸㈳戶㝣㍢㙤收扣换㡢愸ㅢ摣晢搲㈵搷扢散慡㜹改〱㙦晤㠱㐲㜰㠵戲㥦㤳㉣攵晥㡥㝦㉡㘹㌹晤㕢ㄸ㜱㈷搳收〰㑤〷〹挷㔱㈹㤲〶㘳挸㘷搰〹㙣昷挶慤〱搲挹㠱㌶㍡㔱㠲㘰㡦㔰摣搵㤷㡣㔰挴晦〳慤㈴㤶攸㐸㡥㍤晦ち㔸㕦㝣ㄳ㈵㐴㌸㥥㘳㌱愲摦㡡㕣〶敡㤴㈰㡦慦㜸昰㐲挸扦て㤶ㄲ㙥摥㤲㥤晥〹捣㉣扥搱㡥愲㥢㠹愲晦敢㐰㤱攰㌵㄰挵扦昷㈳㤳㈴㥤攱搹ㄷㄴ〸攷㥡昶づ愰㉦晢㠵摦㝦攱〱㜴㍥㈶づ㘵愳㈱搴㜶㍢㥥ㅢ㈶㐲㕦㠷㠹挰攰扤㌲ㄱ捥㈰㈳ㄸ挵㡦㑣㠴搸〷戲㠰㠲敤㑤〴挶昶㌲っ挱㔴愸㌵攵搶攰〹散㍡㠷晥戱搳戸㜸㉢〳挴昳愱戴㠲ㄹ㜸愴慥敦㉣㕥㌴㝤搳㌹愸捡㑦昹ㄲ捡捣㕦挶㑤㙥搵㠵㍤㙥摣戲㐶㜵摡挲㔷㤱㜸搹昷晣㈹㍢扢扦づ㑣㐵㈹㜲摦㡢愲㈸扣〸㑦㠹攰戹㈱昷晥〳晦㜳敡㔷㡦㍣㜱㠲户搵㘲㕡搵敦㐴扥㤷㤰㍤敤〹〴㜵㔳ㄷ㐵慥攵㠷㌹㘷昰㠹㤲扤㕥㤳搳愶慦慣愰挰㜰㤲㙣㐴㜸㈹挲㡣㠸㙦㌷㤸㤸戸昷㄰㤹㤸ㄳ㙤敥㑥昵㘱㤳㜲ㄱ㑥愴㈶慥㝣㝡㐹搸㔰㜴㔵㘴㍤㕡㥢晡㔷愱㡡㕥攰㐴㕡慤㐴㥥㍡㤹㠴昸摦㜶㕤㜷㡣扡㉥㍡挸㌰散㥦㐸㈹挴ㅦ㐸㈱改㠳っ㉦〴㈸㈹㜵づㄹ晤㉥㠰㡣挸㕡㝢㠸㤷晥㠰㍤㈱㈰ㅢ㤷晥㝡晣㠸〵扢〸㉣㈶扥昸㕥㑦戴戴㐵ㄳ搵挴㔰慤戲㘹㤶㤰㔱㠷ㄷㄶ㑣㈶愵换挸㈴㐹㍦㠲摣㡥摤㔱㝣挹㤰ㄳ〵摥㈲挶搶ㅤ晡摡㑡捥㝤㙥ㅤ㌷㍦愰㘷ち㑡㘱戸晢㔹㡣〳愹㡡搱㐵㑤㑢㔱ㄱ攱㜰㤴㙤㜴ㅡ㠸慢愰戳摣㠳㌸㤵㈲昸挷㉦㠵㔸㍦摥ㅣ晡摡昶ㅡ敡㌸户ㅦぢ攴て昶搷捤ㄹ㡣㡤户㤲㘳㈰㘱㜷搴慡ㄸ㕤て㍦㡦㉥㕣㜴㑥ㄸ捤慣㝡ㄶ挷昰㈷攱慣㍥慤㐳晦㌳㝡慤㌸敢〲㝢㌳㡣摤愲晦摦㠵㠲㙤昵扦㘰散㑤㈱昲摤㜱㠶て㍡攳㈷摢㠶㙣戸㈳昰㙣㈳㜸愳づ挶㠶捡㌲攴ㅤ攵㤶昰昱㙡㔴慤㈴㌸晣㕥昹昶慢ㄱ㡤扥戴㙤〷扡ち㐰挶㠶昴慦㐰〴㜵敤摦㉡户㤲搳㙤攱㍤攸㜸攰㡣㕤昱扤挰戳挲戱㈵〴㝤挷昸敤㤹〵㥢㘷㑡晣㔷扢㔰扢つ㍢㌱昸㍥昴㌹扢〰㠱㝤㔶㠶㉦㔵㉣㤲㤱㠵㥤㐵㌲昸ㅤ搲㐸㉡扣㐴敤㄰㕣㘳㍤㔰㌷㙢昸㜴㜵〱扥捥㤰㐵扢㐲搹㐵ㅥ攷昶ㅢㅡ摣㍡摣搱㝡㈷晣㐱戲㌶㠱攰㤸㕡挲㝢摥挷㝤㙤摦㠳搶戶昱摡〲戶散捤攷㔶搲㥦〵㑥㜷昶㤶㔶㤲攱㍢昹㐵㜲挹㈸ㄳ攲搲晥〹晣摤戹㠳㤶愳㡤㠲捥攳て扡改〸ㅢ慦挱㝤戶㠳攸昷㐵㜴ㄵ㔳〴昸ㄹ㘶㥣攱㠳愰㤷㡦慣㈸晥〳换㈲〳㈰㥦㉢㔴〰扡㔳昵㌳㕢㔱昵挸晤散㠹㈴㜸挶㈰㌹㤶挴ㄷ搱㤰摢ㄵ㉤ㅢ㉣挱㘵ぢ㜵㤶㐰摥㐸㝡㈰㥦ㄳ㍣㑢愸㠹㝣ㅥㅤㅡㄳ戱㔱摡㝤㈲㥦摢㙡㈲㠲㔶㠰㕡㘸㝡晣㤱㐴㡢ㄸ㌵㔴ㅢづ㠱㑢攰〱㡣㈴捡㘴㤸昲㤱㐲愷㄰挵ㄸ扥㐹ㄴ㈱晤㈴晥晢晣㠹ㅦ㍤挷昴愷ㄳ㐲㐹㐴㔴戵慥㠲ㄲ㔱慤攲㤳改㔵昸㈸敤扥㡡㡦㙦戵㡡ㄱち㑢捥挴〸〱㠶晡㐴ㄹ㝦搴慡敡挸㜰㐳昹ㄳㄷ〹昰㙢㤹挵㠸㠹ㄲ搵昷㌲㌲攸换㥤㔷慤慥㈰㤳昴搵戹ㄱㄹ㕦昹㈸㐳㠹㌷㈲改搴㈹㐴㕥搹㐲愴ㅥ㡢㑥散㡥摤ㄵ㐲〲㑢攲㘷戳㕤㘵㝢愱挷㔰扦㜸㉡㐱捣改搳挹㈷㔴㕡ㅣ㝣〲㘱㐴愶㈹〹㠹ㅢ㈹㍥㤴㌴晥摡搷㥢扥㔳㔴㈰㠱㝡愲挶㈴㌸搵昸挹愴昱ㄱ㝣㥥愵摡攴㜸㤵㠰改昹愴㌱〹㔳㌵㝥㈲㘹晣挷㈳〷ㅢ㡤ㄳ㍡㡣㐶搶㐹㈴ㄹ㐶慦㍡〶愴㍥搵ㅥ㐶㜳摤愲㈲ㅤ戰愲㘲㡡㔰ㄵ㐳慥㈹㔵㍡㠸㕢㈱㍥㍥㤶㥥挷㈵㈷摣〵㠱戴㡤晥㥦〹㜳戸晣㌴㙢㠶㈶扥㠵摥㐰搴搹㌷搴ㄳ㍢ㄷ慣〵ㅦ〵晤搶㕣㠰挳㔵㜵㔷㤱〸散㠲㝣戴扦摢㜸攷㌳㙣挸收㝥㈴搱㌲㡤㤷㐹㝡搳㈲㉡挲㤲ㄷㅦ㐸㌰㥢㝢扣㐹㌳挶㘳㐰づ挴㈴㈰㌳挶攳㠰㔱㐴收〰ぢ㐶挸晦㡡戹㍦挰㡡てㄲ㍣〱㔰ㄲ㘴㜶搲㐱攱㐹㠰攱攴晦㔸㌱戶愱ㅣ㈷㥡㜸㈴㜹㔹㥡㡣㡣愷搸攱挳〰㝤昰攳㡡㤸〸㑢挶㐷㔰㤲㝥㈹〵㠷㝡改㐷㔹昱㌱㠲㡦〳㤴㜴㑥㜶挷扢挶㌵昵愸挲㍥㠱慥攲㜱〲晣㡣㑦挶ㄹ㍥攸摣㠷户㜶㌷㥡㜹㈶㑥扥昰㐷捣戳攵㔳晥晢昰㘹晥㈶ㄷ摤㠷晦㌳㠹慥㉣晣扣昶㤶摥挶㈲ㄳ搰㌸㔷扦㜵㙣昶㡢ㄸ㠷敢㙡㠶㔲㌸㈲㤵㑡㔱㉢〸攲㥢ぢㄶㅥ摥挰户ㅣ㔷ㄵ㐲㤰〶㔴㠵ㅢ㔷㥣㐰㠱昱㘹㌶㈵㡥㠹㈷攳㌳㝣㈲㙡搵㈶㝥㌶捥昰㐱㄰慦慡晢㐳㜱昷攴㠵挴戵慡戰摢㕥㐸晣慢㡡戵昴ぢ㥦收㘰ち㔹挸戴㙡㈵㈲㑤搱搰ㄷ㤱ㄹ敡ㅢ收摣ㅥ挴㑦扢㈲㉡ㄷ慢ㄷ㉦晥㜵㌸㍦㜶㘳晥㕤敦ㄸ㝣晡昹ㅦ晥晡㔳㍦㝤敦昱摦晦敤㤹㘷㝥晡摢㑦㍤昷户㙦慦ㅣ晦晥戳捦㝥昷晥晦㝣敥搷晢慤㉦㙢㕦晦敢晣㤷ㅦ㥤扣昴攸挳搶昹㍢㑦㍤晡敥㠷ㅥ㤸㕣扣㘶扣慦慦扦晦㡥搱ㅦ摣昰晡㤱挷ㅦ晥㠶昸捥捦慦㜷㠵㕡㉥㕥搰㍡つ㉥㕢㑤攳㑢挸㘰ㅡ㥣昱换㍡つ㉥㔷㙤搴㑡扣㔱搳㈸㈸挲戹挱〹愸ち戳戵㘲攰ㅦ挸㤳戳㜲</t>
    <phoneticPr fontId="4" type="noConversion"/>
  </si>
  <si>
    <t>CB_Block_7.4.0.0:1</t>
    <phoneticPr fontId="4" type="noConversion"/>
  </si>
  <si>
    <t>Decisioneering:7.4.0.0</t>
    <phoneticPr fontId="4" type="noConversion"/>
  </si>
  <si>
    <t>㜸〱攵㔹㝤㙣ㅣ挵ㄵ扦扤昳敤摤㥥敤㘴昹㉡愸〹㘰㈰ㄴ㥣㠴换㝤挶㜷〱㌷戵㉦㑥㜰㠸敤㘰㥢搰昴㡦㉥㝢户㜳挹挵昷攱摣慥㡤つ㑥挱愱㌴㉤㠱愶㐰㈳㥡㐰㐹㔳㠹㈴㙤〲㔴㉡㠱㄰ㄱㄵ㤰㡡㘸〰愹㙡㉢㔵㉤㔴㔴㙤ㅣ㈷㈵㠸㑡㝣戴㝦㤵扥摦散敥昹㙣摦ㅤ〵㈵慤㔰㑦昲昳捣㝢扦㜹昳昶捤㥢昷㘶㘷ㅤ㠲挳攱昸㤸㝥昸㡦㕦ㅤㅡ昳晢㐶㜵㠳攵晣㠹㐲㌶换㔲㐶愶㤰搷晤㙤挵愲㍡扡㈶愳ㅢ㉥〲㠸㑡㠶攴扡㕢搱㌳㜷㌰慦㌲捣㡡㍡㠱摣づ㠷搷㉢㌹㐹㑥㉤晥㈷摢ㅤ〹愳愴㍡㄰挸㈴ㄱ挴㐳愴挱㑢愴㍦搱摥㤳摣㐴㌳昵ㄹ㠵㈲㕢摣戴捥搴搷ㅡっ晡㠳晥㔰㌸ㅥ昴〷ㄶ㌷㈵㠶戲挶㔰㤱戵收搹㤰㔱㔴戳㡢㥢搶づ㈵戳㤹搴㑤㙣戴扦㌰挰昲慤㉣ㄹ〸㈷搵㐸㉣ㄸ㠹㐶搳昱㜸慣㐱㈲捤摤㍤㠹㜶㝦㌷㌳捥㤲㑥㌷ㅥ㈳戸㠲愵㌲㜸㕥挶㡡㤹晣〶㍦捤㌰捤㝥㝦捦愰攱敦改敢㘵㥢㠷㌲㐵㤶㘳㜹㠳㍦愸戲戶挸搲慣挸昲㈹愶捦㔱㍡㐶㔲㉣㥢㘰搹㙣㉦㑢敢昵捡慡㘲㘱㘸戰㌳慦戱㤱㍡㘵㥤㕡昴㉡慢㠶㌲㕡㤷㍡搸㤸扢㐵㘷扤㙡㝥〳敢㔶㜳捣㥤〳摢㔹攷愸㜳㌹㕣㥦㘸㐶愲扤挵㍦㙤ㅡ戸摡摢㌴挳㝡㌸㠸っ扥㠹ㄵ昳㉣敢㈷愳攱戶㑡〱㜰愳慡㙦㌴搴㘴㤶〹昵㔶㜸挰ㄸ攸昴㐹㍥愲昸㐹昵㈰つ㐴㠴扡昷㈹慡捡㤱㄰㌹ㄵ搵愹㈴㥤㑡捡愹㘸㑥㠵㌹㤵戴㔳搹攰㔴㌶㍡㤵㡣㔳搹攴㔴〶〸㘳晦扣ㅥ㡦搳晡㡤㉣㕦昷扢昸晣敥捥㝢㈳挷㜷戵㙣敡散ㄲ㄰㐸㔸ち㥦㌴挷㠲㑢㜳愹㈱挹㐴〴攱㍤㥡ㄹ戳て㡣㙥㍤扡敡挳㝤㕦㌹晡攲挱㙢搴㕤㝦晦挰㡤搰㕢㌲攳昹慢慣㥥ㄹ㡦㤹㘱昶昹㔹㍢㌲昹戳慣摤昹戶〷㉦㠰〷㉦攴ㅥ㝣挷昲攰攱扢㕣㍢ㅥ㜱て户㍦昶㠶㤱攸ㅡ㜷扥㉤㘰摦㥡㡥晦㠲㍤散㘲っ扢㠴て㥢戴㠶㙤晢㝤昷攳㙢㝥㍢戰昲㥥搱昵捥摤换〷ㅦㄱ攰㐴㜳搸ㄷ敤㘱昳㌰㙣㍥ㅦ昶㔷㙢搸㑦㕥扣敢晡慤扤㥤慢昶敦扤捡㝢搹扡㘳㕦㜳㈳慣㍥㝤㤸㈳攷㐸㝣愷㔰㙥搰摤戹㤵㠵愲敥㜲搵っ改㥡㐲㠴戸㜴ㄹ挸攵㐴摣㠸攳㑦摣㐴昰㡥愰ち㐹㑦㡥昶㔶搷㠶愲㍢㘷敥摦ㄵ㑣㑦㐹㌹摡攱㝣慦㡢搴捡づ戱㠶㕣愲㤰㌷搸㠸戱㐲㌵㔴㑦㙥慤㑡㐹挲㤸㐳〳〹户挸㔲搰㘰㜷愱愷搴㠱㍡搹㤶搸㕡ㅢ愷ㄸ愴晣〲扢㔷㌶㐷㐹户㌹㤵挴攷㠱㘲戳〵慤㡤㥣㘷慢昴㔹㍤搲㈷昳㘶㤹戲㝡捥㌰㌵愱㝥㔰〱㜱搵㔹晦捣㡥㈸㕥㌵㘳搳㑤㑦㍡㘴㈱戹〸戱敢ㄵ㙢慥挴㠲㑡㙡㔲挹㕢㡣㑣㔶昷㤳ㄹ㍣㡢㐲捦㝦㝢扥戳㘵㌷㙣㌷㝦晦晣搸晥敦ㄳ㥢愸㈹㑦㉢㈸换㈲换挴㉢〰愰㥤㘳〱㈹㍣慦㈴㠶捦㈷㌵搱㍦〹搲搹挲㕡戲㍡愴敤㥡敥挷㉥昶慤㈹愸摡㑡㌵㐵㠵摡㘳㤵㘹㙦愲㤰ㅢ愴㤸㉤捡㈸ㄱ㠹㠲挶搶ㄶぢ挳ㄹ㡤ㄵ扤㘰昴搱ㄱ愱づ㍢㔱攴挱慥㔳㜸戸ㅣ㙥㜷扤户搲㕣㥤戶慥〵ㄵ㡥㈰㥤戳昴㥦戹㌹戶ㅣ㐹摤攷攳㠵愷㤹㥡搲㐲㈲〲捡〲戲㠷戴〸㘴㌱㔸㈸㄰㐰㤹扦㜲晦㕥㐷慣ㄹ晥つ㉤㥢敤挱㈵〴㈳昷〲㕤㐵㔸㑢㈶愰㌶挱挵㌳㙣㕥ち㜵㉤㐴〴㈴㘲㙥㜳っ慣㌸ㄱ㌷㔲㜲敤㕣㐳㐹晦晦㌴搷搴搹㐹㘶㕡慥㘹慥㤴㈲㑡挷㥢㔲㔵㕦㌹㤴挷㕥㕢昴㥦愱晢㐷〷㤹晥扦挸㉢㥦攷㍣收㜳扦㐲〹攸搳㜸ㄸ慦ㅥ㥥㘱㔴㐴㐵㜱㜸攱㙦㜰㝣攲昵㐴敢㝢晡㑡㡢㌷㝢昷戵〲攷㤳〰慣㈲慣㈵ㄳ㜰攸戱户㈶愶戵搲挹ち愸敢㈰㈲㘰㡢昱慤戹ㄲ慣㔵㘰攱搸㔳㌹㥤摣㐸㤲挶㘹改㝡戶㑤慢〹㐳〶〳㕡㐵㔸㑢㈶攰戸㘵ㅢ㕣㤶晦㙥㠶扡㕥㈲〲㡥㔹摣攰㍥戰晡挱挲㠱慢戲挱户㤰㘴㐶晥ぢ㔷挸㝦户ㄲ㡣㙣〶㝡戶捤㕣㔸㑢㈶攰慣㔷挱收慦㐳㥤㐲㐴挰ㄱ换〶昰㠵㌷㤳晡㙤〰愸〰攰昸㔵〱㤰〴㈰〵〰ち愰つ挰㐹搵㕡㐷つ〰㐶㐴㙥㈶〲搵㕥㉦ㄱ㠷扣搰敡㑡㘹㌴㔰㉡散搱㘵昳㙦㈰戶戴ㄱ㠰挵㤵〱ㄹ〰㌶〱㠰ち㘱㙢㈸㥢㝦〰㠰㉣ㄱㄹ挹扥㙣㝥㥥昶㈱捣㠱㡦戴㙦㡦㉥㥢㍦て㐰〱〰㤴㠴ち㠰㐱〰㌶〳㠰㙤㘰〳㄰㥦搶昳ㄷ〱愰扡敢㤰ㄱ搱㘵昳昳搸㠶搰〰ㅦ戱㙤㡦㉥㥢㝦〸㠰㘱〰㄰昷ㄵ〰户〳㌰〲〰愲摡〶㤴㍤晦㈸〰㜷㄰㤱ㄱ愰㘵昳昳㔰㠵昰㑥昰ㄱ慡昶攸戲昹挷〰搸〲〰挲戸〲攰ㅢ〰摣〵〰㠲搰〶㤴捤㝦㌷〰攳㐴㘴〴㕢搹晣㍣散㈰摣ち攱㙤㤶㔰扣㠷ㅡ㔷㈷摡ㄳ扤㡡搶ㄲ〹㠵搲昱愰ㄶ㠹㠵㈲㉣愸慡㕡㤴挵㔳挱㤶攸搲㘸㌴ㅣ㡤〶㘵搵ㅡ㈳㝤㤳ㅡ㌲㈲ㄱ敡愵㝢搱攳㈱㠹ㅥ㤷㈱〸戱㔵挵㙤㐴捥㑢戴㉢㘶㍡敢搴攸慣㥦㌱㐶挵㙦ㄳ扢ㄱ散㐱㠳㕥摡戳㐳ㅡㄳ扦㐳慣㌹㈶慢㡦㉥ㄳ㜰㜳㈰摥㌷〵㙢搳㠶晢っ搵㄰户ㄳ换愳㜴㙣愶㔳搷愰㡣㌰挷㌴搲晤㐴扣〲㐵㍡㝦敦ㄲㅦ愰敥敤㜷㡥昵ㄶち挶ㄸ扤㄰戱㤴慡ㅢ晡搸挴捥㙦㥤㌸戲晢昴挳捦㥥摡㝢晦攴挱敤㈷㡥㍤㝣㜲攷慥㠹㈷昷㑤㍣晦昳㠹ㅤ㍦㕢ㄷ昶〷㤵搳㝢㥦㥦㝣昴愹㠹愳晢㑥㙦摢㜱㙡敦〱㘵昲敥〷㈷㡥摣㌳昱挲㡥㙢㠳捤晥㤱慣㍥㌲㜶昲挰摥㠹挷户㡦㥤ㅥ㝦㘴㜲攷慥挹ㄷ㡥㥥摥昵㥣扦慢愳慤㝢㑢搳つ慤㑤〱㝦㈰敡㐹搳攴摣㌱㑥晡敦㉡扦ㄴ㄰㡡㔴㈳昰慥晥昶㥡㌳昷昵扤扢愷晢挸㤲戱㑢扦摡昵挰㥢挲㘶㑢昰昴扥挱挲摦㥥ㅤ敦摡搳捡晥昵搶摣昷㝦㉡㘳㍦挲挹攲昷㠸㤸换ㄴ搲㘲㌱㌵㤹㑡㠶ㄸ㔳㈳㙡愴㈵慥㙡㙡㑣搳㘲㐱ㄶ㘴㕡㌲愶捡㝣晢ㄲ㕣㝡㤰㠸㡣つ换㤷改㈱昴昸捥㉤挹戰㔷戹晦戰㑣ㄲㄶ㐵挲㌲㐸昰扢〴㑦换㔹㈲ㅣ戱㡢ㅡ摣挳搰攵ㄳ㜷ㄳㅤ㍤愷ㅥ㍥昵㡢㐷㘹ㅤ㈶挶㜷㑣㍣昷搴㌴て挷挳㌱て㔲㐸ㄵㅦ㌳换㤵㘷慥㝦敡收㕦ㅥ扦㜰昵戱㍦攷ㄳ㍦扡昴戵㐱㐱慢收㘳攴ㅣ敥攳ㅦ㔲挳昴昱搲㐸㈸㤵㡡㙢㕡㔰ぢ慡㤱㜰㤲㌶㐵㑢㌰慣戲ㄶ㌵ㄲ搷愲愱㘰㑡收㈹㡡攰搲攳㐴㘴㈴㈵敥攳㍤攸昱散㔴㤲㈱ㅦ㜱て挲㥦ㄲ㜷昴㤴㡦攱㜲ㄹ挹ち〸㜱ㅦ㤱㜱攱㥣㝡㜵攲戹㈷㑥㍥戶挷㥦攸攸敤㙦敢散敥㕦㝦敤㜵㜴敢ㄸ散㔸ㄴづ戴㉣づ昸㘳㠱㐰扣㜹㡢戴㥦散㌰㡢㠶㜸㠰㥡昵戴搷㤲㙡㌲㤳愵㥤㑢㈱攰㐱晥慣攲晣㕢㉤ㅦ摦㌷摦㜳愸慢昰搱㥡㘷づ扣㜴挳㤱㤱㈷晥㈸慣慢收㝣㈴㕣敥晣㠳搴㌰㥤ㅦ㡥户愴搵㐰㌲ㄵて㘹㤴㠷挲㠱㜸㈰捤㤶愶㘳㜱ㄶづ〷搲㕡㍣㉥昳晣㑣㜰改㄰ㄱㄹㄹ㤹㍢晦㐹昴㜸㙡㉥挹㤰㡣㙢〷㌸㌲㌵㐷㍣㐳つㅥ攰昴㥦〲晣㌰搱攱㜳扡ㄴ㤳摦摦㜳攲攸晥挹敦㙥戳愲晢换挸ㅦ攱㜰㉣敡㐱㠱愸攲攰搵㤶ㅦ捦㝢㙢换戵愱敥㘸攲㐸㤷晥愱㤲㝢昵㍤愱戳㥡㠳㔱㔱戸㠳㡦㔰挳㜴㜰㈴ㅤ〹戵愴㔹㍡㥥㡣㠴㈲〱㉤愰㉥㈵㉦挷愲戱㐸㈸㥣ち〴㕡㤶捡扣〰ㄱ㕣㝡㥥㠸㡣㤲挳ㅤ㝣ㄴ㍤㕥㝢㑡戲扢愹㔵摢挱攳㌶攲㈵㙡㜰〷㈳㉦晡挴㤷㠹㡥㥣㔳〷㥦㍣扣晤搴搳㍢愷攵㘸敥攳㘸㌰攴搹㑡戳㔷㜱㜱慢攵挹攵ㄷ散て扦昱㠳昵㙤㍦㝥愸㘳攱攱㍤㙢慥ㄴ㙥愸攲㘲㌷㑡㕥㘰挶换搵慣㥢搶㤹ㄷ搴㈸搹ㄷ攵㍡㜵扡ㄲ愷て〰晤㠵戶搲挵昷㜹晣敡㠰昸㡢散㝢扤慢愷㌸㙤㐹扤㤰ㅤ㌲㤸㍤慣愷㔸ㅡ㐷户㔸昴㌶挱挷㔱搱扢㘸慡㔷㜶㝦㌵㙦㡡摢㤹搷㔹搱㘰㥡慤㔱愷换攴㍡愷㑢㠸㝥搲㤳㔰搱愶ㅢ㝦敢愶捤扥搵昷搲攳捣慢㜰㡤搱㥥㌱昸挷ㄴ挸〵〹㠷つ昱ㄵ㈲㔲敢㠲戶〵挱㐰㈰㄰㜵挷挹慤㥦㙤㑥〴攵搴㉢ㄴ㘶挰捦㈷扤㑡㔴戸㤷〸㔴㠳搵昰㉢㈲㜴つ户愲㤰㔳㌳昹戳昵㜹〴㠷㡥㤹㙦㝣㝣搹捤㘹㑡摦㐹散㔳て昶㐹㐳慥㈷㤵散㉦㌲晥㠵挳换㍢昴扡摤㤸扢戵㔰ㅣ㐸ㄶち〳戸㤷㥣挳㝢晡㐶挶っ㝣㜴愸捦㤹㠷㈷戴〵㐱㜰㑤㍢㔲㤴ㅦ㉦昰㤰攲㜱㈲㡤㙤搹㙣㤳慤㔱ㄷ㕦㈳㤶㡢扥㜵㠸慦㔳㘳挵搹㌸〵〹㘱㙢㉢扣摣㍢户晤昲㘷慥戹改㠹㠵慦搷㌷户㥥慦ち㈱㑢㌰敢㈳〶捥㈲搸㈷㠲㠴㤳㡣昸㙢㈲愵ㄸ〸ぢ㑢㘸㤸扤㔸㍥改㌷挰攱戸㘲戳〴㥣㍥攰㙥〹㡦㈷攱㠱㈴㍣㡣戰戰㥡ㅤ捤㤶㘰收㔷ㄱ〱昵摡戴〳搵㕥晣〳㔴搹戱ㄸㄴ扥㌴捤㡥㌷㌱〵㑡㝡挹づ㔴挶㤲ㅤ攲㥦愸攷愲挵㌱㙤戹愲㥡㉤㑤㤶㘰搶昷㠵㐳㌴摥戴〵挵㑦晣ぢ㤱㤲㉤㈱攱搲㘹戶㥣㈰愱㠰ち㔷戲〵〵慢㘴㑢㤹㑦㉥愹㘶挷挵㤶㘰搶〷ぢ㘴㜹搳づ搴〸昱ㅤ㈲㈵㍢㈲挲㠵搳散㜸㤷㠴〲ち㐱挹づ攴昵㑡㜶捣慤㘶挷ㅣ㑢㌰昳ぢ㐸ㅤ昶㙤慤ㅣ㠲挳扤㈷愷愸昸㌸敢捤㈹㔹㤶摦㘰㙣㉣㝤㤰昵攰搰攲㤵摥㈷㄰㉡っ㝥〲㈲〹㕡愵て㠸㤴戸㔸㔷捥晤戰㥣ぢて㜳敥㐷攵㕣㍣㉦攷晥愳㡣㍢ㄷ㤳㈰晢㜸改捦㌱ㄷ捡愷㝡㔰㍡搵㠳戲愹ㅥ㤴㤴㝡昵晦〶㕦㌳挳㐴</t>
    <phoneticPr fontId="4" type="noConversion"/>
  </si>
  <si>
    <t>CB_Block_7.0.0.0:3</t>
    <phoneticPr fontId="4" type="noConversion"/>
  </si>
  <si>
    <t>㜸〱捤㕢〹㜴㕢搵㤹搶㤵慤㘷㍤搹㡥〵㐹㈰挳ㅡ挰㈹㠴愴㐶慢㉤㤵昱㌸㕥ㄲ㘳戲〱づ攱捣㥣㑥搵㈷扤愷㔸㐴㑢㉡挹㐹っ愵改㑣愱ぢ搰㠴㐰㐳㈹㥤㤲戰㌴愵㉣㈱㉣捤㐹㠰ㄶ㘸㝢愰攵㤴戲㑣摢改捣㜴愱㌴㘹〲戴㄰㑡捦㉣㘷㍡㘴扥敦扥昷㘴㉤捦㑥愰捣㌹扣㔸扦晥晢摦晦㙥摦晤摦晤晦㝢慦攲ㄲ㉥㤷敢〸ㅥ㝥昳㘹㈶㜳捡攸㐴愹㙣攴扡〶ぢ搹慣㤱㉡㘷ち昹㔲㔷㝦戱愸㑤㉣换㤴捡㑤㔰㔰ㄲㄹ攴㤷㍣㠹㔲收ち挳㥢㔸㙦ㄴ㑢㔰昲戸㕣㕥慦敡㐶㍥㌸昹昱摢〹㤵愵搴㘶ㄲ收愹ち㐹ぢ㐸㥢ㄷ㘴搵攰挰捡攴攵㘸㘹戴㕣㈸ㅡぢ攷慥㌶敢敢つ〶扢㠲㕤愱㜰㍣搸ㄵ㔸㌸㜷㜰㍣㕢ㅥ㉦ㅡ扤㜹㘳扣㕣搴戲ぢ攷㕥㌴㥥捣㘶㔲㑢㡤㠹㔵㠵戵㐶扥搷㐸〶挲㐹㉤ㄲぢ㐶愲搱㜴㍣ㅥ㙢㔳㔱昳㡡挱㠱㡢㡡㐶扡昴㝥搵改㘳㥤㉢〷〷扡㔶ㄸ攵昷慢捥㔶搴㠹㉡㠷ち㌹㉤㤳㝦㥦㉡昵㄰敦攸㤰㤱捡㜰㘲っ愳㤸挹慦改㐲户㙢㠰㐶慡愷慢扦㔴ㅡ捦慤攳ㅣてㅡ搹散㈵㐶㥡ㄳ愲收㠶㑡攵㡢戴㘲慥搴㤶㈳㝥㐶搱挸愷㡣搲㡣摣攲㡤㈹㈳㙢㈹㤶扣戹搵㕡㜱㠵㤶㌳㥡挹㜴攴捣㌹ㅣ搱㡤㝣㌹㔳㥥㘸捦㕤㕡㌲㉥搱昲㙢っ慡㜸㜲挳攳ㄹ㕤㌴㌷攳捦搵㜴戶㔳捦攴㐴愱㍦戹挱㌱慤㔸㤶㈹㑥㘱搰㐹户捡㕣攴㈸㙡晢㠵㔲㜳敢㑡㜱捥㐶㌳戹愵㐶㌱㙦㘴搹〸㘷㜲㐱㥤㤲〴挸㥣㠷ち㔲昶㜰㌸㑢愲搵㝡㌱㌸ㄶ攲愴戴㠱挴㔷ㄴ㡡㌹ㄸ㘴㜰㕥㙦愰㉢搰ㅤ〸〴㠲愱㔸愰㍢ㄶ㡦〴㝢㠲挱搸挲㜸扣㉢ㄶ㘵㕥㜷㌸ㄴ㡡㐶㝢㈲挱㔰戴㍢ㄴ㡥㐵㠳㙡㍢㡡慢㌳㔸㔱〷㐸㜳敦㜰㈸慡晡㈹㍢づ㐴㌴扦㠱ㄷ戳扡㐹昶挱㥤搰摣㠹愴㍢㤱㜲㈷㜴㜷挲㜰㈷搲敥挴ㅡ㜷㘲捣㥤挸戸ㄳ㤷扢ㄳ㙢愱㘳㍦摥㤶ㄶ户昵㑣㥣㜹摦㕢攱愷摥㕡㜱敤㤳㔷捥昹晥昲攸㈲挱㜷㔱扥捡㌳挱㥣㙤つ㘱戹愱攵㝢扢ㄷ㡥㤶昵㈱㘳㝤㙦戰㉢ㅡ挷㐰攲攱㐸ㄴ㘳改㡥㜵㠷搴㔹㔰㔶㘷㠳㈸㈷㠰㌴昷㉥つ㐷搵ㄳ㈹㥢〳㈲挴㐱㜴㤸㥤摥㜹敡㌳捦㈵户㕣㌱昸㤵㈵晦昵扢㔹昱ㄵ戳〵㕦㝡搹摡㐹㘰㝡慤搶㘲㕤戱㤸挴㉣㄰㡣㠴㈲攱㔸㌸ㄴ㡢〵攳挱㐸㉣摡㉤㐱㤳㤹愱㜰㈸ㅥ㡤㐵㠱㔷㌸ㄸっ㠵㠳㈱昵㘴戶㜷ち㠸㜲㉡㐸摢挱㕤㥦㍥㜰晤捤㠷㜶㝤攷搰慥摢搵搳㤸㜷㍡㠸㄰㉦㕢㝤㜹㘶摦㡥敤㍦㝢㔵っ㝥㝢攵㑢晦㍣晥挰昰㠹㠲㙢㡦散换ㄹ㘰㍥㔲㍤昲㐰㔷〸搳ㄳ愸晡ぢ搹㔸〴扡㈲㍤戱㜰㌴ㄲ〸挶攲㤸㍦昴㈹愲㥥挹挶捥〲㔱㍡㐱㥡㝢㐷挲㜱㜵ㅥ㘵ㅦ〲ㄱ攲㕦慤づ捣㜹散慡昵慢扦晣愹攱慤户晤㑤挷摢晡㌷㌷ぢ慥㝢戲〳攷㠰改戱㍡㄰㤶㐸㠴扢㝢㐲〰扡扢㈷ㄲち〷㐲挱戸〹〴慣〷㑢㘰㈰ㅡ挱㔲ㄸ㡤㐱㈱ㄸ㡢慡昳搹搲戹㈰捡〲㄰摡㑥㔰㕤㐸搹㠷㐱㠴㜸挹㙡㍤昵愱㉦昷㕥㝥攳㘹㡢敦扡改搰戳㤷㉥㥣戳戹敤㍣㘴㕦㙣搹昱㔰㔱摢㠰㤵㘱㜲搱〹㜵挱㠴㡦㘵戵挵㘲㥢㡥愶㝢搲挱愰ㅥつ㘸㘱捤㐳㔳㍥搶搷㥡㈶摥㤶扥㉣㤳搷ぢㅢ攴㝢㝥捡㠰㔶㌲㈶㕦晢〵㔶摥㐰㘱㍣慦㤷㑥㜶捥ㅣ㉤㙢㘵攳愴晡扣挹㑡ㅡ㡡㡤㘲ㄵ㌴㑡戲扤搳敡㡢慤搶戲攳㐶晦挶㡣㤹㝤㙡㕤㌶搶挰㐲㜲敡摣㈵㐵攳ㄳ㤵摣㠶ㅥ昵挳㠱慥㤷㜵㌷㡣搲捣㌲晢㌵㜷㜰慣㔰㌲昲戲㝢ぢ㜲ㄷ㘵㔲㙢㡤攲愸㐱昷㙢攸㜲愸戳㤹㘵㉤挴ぢ㔶收㌱㔰㉣慤晡㤹搵搲昴攲㡤㘵㈳慦ㅢ㍡晡扢捥㈸㤶㈷㔶㘹挹慣㜱㐲㡤㡡搹㈶㌲晥慡㐶扣愴㤰ㅡ㉦つㄶ昲攵㘲㈱㕢㥢搳慦慦搷戰昸敢换ぢ扡㠱戵扢㤹㡦㑢戸㥡㥡㠴㜰㥤敢戴㠰戲摥㔲㤷㥣㠸慡㈹收㔲㍥愷搶散扡㉥挱攸㌰㡡慣㐱㥢㜴㜷ㅥ愵㌲㔹㉦慢㤹㍦戵㘲搵㤸ㄸ慢㔰晢㥣愹戵㘵ㅦ㉢㌳昷晦慢散㜶捦戴㐶扦㜸㍤ㅣ攴〵㕡㕥捦ㅡ挵㘹㈳㉤挱ㅥ愹〱㄰捦昳㜸㥢愷㐴㡦㑢戹搸㈸㈶㍣ㅢ㌲㝡㜹㑣ㄹ㌳㌲㙢挶捡㤰㈱ㅡ昳㝡〹㙤挳愳㠶㈰㔲挳㈴ㄱ㄰㥦捦愵㐴愹愴昸搴㙥㌳敤愱㔷㝡昷慥㤷昱㥥㉡㕤㍤攲戲㤲㈷户愴㔰㉣㌵㌵㌹㡤昲〲慤㌴㔶愶㜹㑥㥢㈹㠳㤱ㅥ㔶ㅡ〳昱㜰攱㌸慡㘷㤷慥㤴〱㑣㝢㙥挸㐸㙢〸ㅢ攵摢㉤㌴㑦捥㡣㐴㠶㡣㔲㑡㘵挸㌲㠲㜷㘵愳〲づ㉦㝦㕢㡥搶㙦㙣㉣て㘹㘵慤㈵㠷攰〷戳愴㐲㘹㠱㉣㘵㜲㉣搹㉥㘵㜶㘹㥦㤵㐲つ㝥挹㔶搵搲㉡〵㘶㑤㜸㜱昰扥戸㥡㉣㍡晤㈰搰㜷㠶㈷㑡扤愱搷〶㌱㠸慤昴㘱㈳扦㙡㘲㥤㔱愲扡㔷㤹ㄶ捡晡搷㡢㤵慤㑣㈵㉦㉤㘷戲愵㉥昴㜴戸㔸ㄸ㕦昷㝥搶挳扡搴㌸㠸晤㜸㥥㠶ㄵㅦ晢㤸戸ㄳ㘹㔹捦戹㐹㈴㕣㕥搶㐶㠹㜲㍥㠸ㄹ㈹搱㘴㔱攳ㄱ㝣挹㐷敤挵㤷㑦愵㠲敡㥣攷㘱㕣昵㙥愲㍥挶㉤㙤㌹挰戴慡㘸挸㌸搶㉢ㄳ㠰扣㍤㜷㔹愱戸㌶㔹㈸慣愵㔱捤㤰愹搲㤸㘱㤴ㄹㅢ戶㕡戱戰㡣㜹㠵㘸㙡慡㠹攲慡㠲㐸㐶㜴㑡㍦㐸㝢㝦㌶㍢搷慥戱愴っ㐰搴㠴㈸㔵ㄹ〴㌳㜴㘰摢㘷昷敦扤昵搵㥢昶ㅣ扡晤晡㠳昷㕥户晦摢㌷晤㙥摢㔷づ摣扦昳挰扥㠷て㙣搹扤㍡摣ㄵ㑣扣㝡晢扥㠳㕦摤㜵攰搱㥤慦㝥㙥换愱摢敦㑥ㅣ晣昴搶〳㝢㍦㜳攰昱㉤攷〴攷㜷㙤捣㤶㌶㡡挷㠱ㄴ㘳戳〷㜶慥㉢扣戶攷ㅦ㤶㙦敦㌵摥昹㐵挷摢昷㠸挷慣㡣㠶㄰㤱挱㥥㡣㔰㤷㠰ㄱ晢愰挶㘵〸㝣敤愳㕥㠰戴㍡㐲㜲㈱〸ㄶㄳ㠹㍥搶㤲㘵㘶㔲㌰㘰攴㝡愲㉥㈷㔹〱㈲ㄸ㌴捡㐸㜷㈵ㄸ晢ㄱ扢㔱㍦㡤㐴㑥昴挵㄰㥢ㄱ㘶挳㘴㡥㈲换愷㔲愱㜱愲㘵㥥㘰㍣捡挹㔶〹慥㑡㌸㔵㐲㈹㜶愲㜶㐷ㄴ扥㙥㘵㌴㠴慥っ㌷㈵ちㅦ㘵昹㍢愱收㡣挲挷搸㐶㠲攴攳㈰㔵㈸㈴捤愴㘰挸㉡㔱㐸㠱㔱㜵㄰挱㜰㔵愲㘰㠰戱ㅦ㜱㉢摡戰㔱㔰ㄹ攳㌶づ㌲〳愹㙦扡㍣挱㈰搸〹㠰ㅢ愶〲㘰㡢㤵搱㄰㉦㥦㠹㥡㈴〰㐵㌰攲㡢㔳〲㐰㤷愳㡥㤳慣〷愹〲㘰愳㤹ㄴ㘷攱㕢〲㌰㐱愵㉢㐰〴挳㘵〹挰㤵㘰散㐷㕣㕤〵㠰㜲ㄵ挴㘶㙣摤㘰〶㥢㤰攵㔳愹搰㠸㤰捣ㄳ㡣挴㥤㔰戸㘲㉡ㄴ㈶慣㡣㠶愰㝤㍥㙡㤲㈸㝣ㅥ㡣搸㌰㈵ち搷戲㌷搷㤱㕣て㔲㠵挲㘶㌳㈹捥挵户㐴㘱ぢ㤵㙥〰ㄱっ摢㈵ち㕢挱搸㡦挸㔷愳㜰ㄳ挴㘶㡣摦㠰挲㌶㘴昹㔴㉡㌴愲㈰昳挴㠷㤱攷㠴㠲㍥ㄵち㈹㉢愳㝥昳攰〹愰愶㜷ㄱ昴㜱㜹㔳搳慢㌳挶〶㝡愹ㄹ㘹㥣〸っ㡥㤷捡〵改㔲摢搳㐳㠵ㄵ㠵昲㔰愶戴㉥慢㑤捣㑣㕢捣㘵㘳㐶ㅥ〱㙦ㄱ㜱㙦㥤慣戰㙥㥤愱慢改搱挲㜸㌱㘵㡣っ㝤㄰〲㘲㡣て昳㈷㘳㘱户挰昳摥㘲㍣㙣搷〴㑣〵㡦换挳挸慣摥㔵换㜳㠹慡戰㕡戲㌴㤸㡥㐹㐴㔷㘵捡㔹愳㌵㉤㐳㕡挹㝢搳㐰ㄱ扢〸扤㈵扤㙡っ摥㙢愸㍤㍤㕣捣攸搹㑣摥攰㘴捣㌲㔵㤷ㄹ㙢戰㘳戸愸㔰捡昰〸愸㍤扤慡愸攵㑢敢ㄸ晣愴㈶㡥慦㐹挹㈸挹㤳ㅥ挸攴㑢㘸㐶捥㈲昹㡥昴攸㔸㘱〳㑥ち挷㜳昹㘱㙤㕤改〳㌱㉢昴ㅦ收㈳愷㐶戸㠵摢㉤扣㙥敦㝢㥤ㅦ攵㌶搴㌶搳摣愹捦㠵㥤㤶㡢㤹攴㌸〱㤳㡤㜰捡㥡㐹攴ㅣ扡㍣㘱㜰昵㘱㑥搵ㄴ搶敤㔱搸搷㥡㔳㌶挷㜰戹㜲晣㉡昷〴摢㔹㘶〷挸㠵挳㤷㡥㑣敥摥晦愲昳㔲て㜷〲挷扣㔹㥡つ攵ㄹ愶〹㜱〳㐵㡢挲㥢〹㑢㘰慡摥㉣㝤㘹愹㐳ぢ㥤㌱挹㉥㐱扣摤㤶㕥愶㈵㡤㉣戶〹㌹慤㍣挳㑣㜰扦㠶昳戴㤲㤵㌷㔸挸攵㌴㥡ㅣ㑦〵㐷㔳㕡搶昰愶晢挷换㠵攵㤹扣㥡〶㤱㜶㘹㠹戴㡤㄰㘹ㅢ捤㠰㍥㝤〹㡦て㈴捦扡ち㙢戴㘲愶㍣㤶换愴扣㑣㜰㡢晦㠱戰㔵慣ㅦ摣挰搹㡦扤㤶搴敦㄰捣㌸ㅤ搳摤㠵㑤㌵愱摢㠱ㄲ戰㘸户㔰昰㑦扣挷摤㈵㔶ㅥ改㌴搴㍢㔰㥢挷つ挲愵㐸㍥㠷敤㍢㠱挳㥢㈰㤱㡢㤳攰收㤰搹敡㥤ㄶ挳㐴㌳昷㘷搳㙥㍤㜸攰攵㕢㔶搰昴㈵㕡ち㈷晣㉤搶昹扥ㄷ㔳换愵愶攸攷㘶㜰㄰攷ぢ㌸户㔸㥦搱㡤愲㤷㠲㔱摣㉤㌴㜳ㅢ愹㤸㜳㠸㠸戸挹攵昱戴㝡㥤摡ㅡ戱敢敡戴愲敢敡扢㡢㤱㠶晡㝦㝦㜱慣慦㠹扤昲㐹ㄷ㜵ㄷ㔸昵敢㈰㠲摢㑣㡥愷㑥㘱㈷ㄵ扥〱攲攱㠶愶㝥㙥㙡昷㘵搸扤昱㈵㙤㤶㈷攳摣㌱㝡戱扢㤲㕢㑤㡦ㅣ㐸㙢搵ㄶ㔱㌱㜷㠷㕥晢戸㕤ㄹ㠵㤵ㅢ扡捦㕣㕦戹ㄵ攵㜴戸摤捤㤸㙡愵晥㜸慤愱㔹㔴㤶ㅢ㌵攴摥㔱昸搰〵攵㙥㤰㔶扥㉣愸㍦㌱ㅣ敡㘹〸㄰㝣㍥昵ㅥ攸戸㝣㠲㝢㈷㝢攰㍣愴戵㤰戹ㄷ慣㝡ㅦ㠸攰㈶㠰敥扦捡㔹〹㐶晥㜲攱㔳敥〷㜷慣ぢ愴ㄸ㠱㌲ㄷ㐹㜵ㄷ㠸戸㄰㠴㙢㑦挵ㄶ㜷㠳㍦扡㉤㜲㜳㈱㙤昱㐱㡢㘱㐲㉣〷戱㠷挱搷捡ㅡ挶㐳㘰搵㠷愹戰挲㔹攱ㄱ㉡㝣㡢ち摣㤰㜰㤲㤵㍤㈰ㄵ昰㤶㠶ㅤ挱摢ぢㅤ㠰㌷ち㙡户㕡〵摥㍥㠸搵㐷㐱〴昷づ昵攰㜱挳㘰㠲昷ㄸ戸㘳〶㉦〱㘵〹摥攳㘰挴挷㐱㙡挰晢づ〴㐷〷㉦挹戲昸愸㑦㔸㡣〴㡦ㅢㄳ㝢ㄸ㕣ぢ㉣昰㥥〴慢㍥〵㈲戸㘹㜱㔰昸㉥ㄵ扥㐷〵敥㘳㈴㜸摦〷㌳换戶扣㥡㈳晡㈸㜲㄰㕥ㅥ挱㤷㝣㘰㠲㑦㤳昱㠹っ愸㕤㍢㌷昱㔶昳捦㠰㔵㝦〰㈲㡡㈰昵㈸㤶㈱㌳㔱晣㈱戸㘳㐶㜱ㅣ捡ㄲ挵㘷挱〸㙥㔸㙡㔰晣ㄱ〴㐷㐷㤱ㅢㅢ㠹攲㜳ㄶ㈳㔱㥣㐰挲ㅥ㐶ㄵ㡡㍦㠶㔸㝤㥥㡡摣昹㌸㈸扣㐰㠵ㄷ愹挰捤㤰㐴昱㈵㌰ㄵㄳㅣ㠹〴㥤摥摦㥦㐰〷攰㙤〲戵㉢慤㌲挱㥦㐲慣晥っ㐴㜰摦㔲て摥戵㤰㤹攰晤ぢ戸㘳〶㡦摢ㅢ〹摥捦挱㠸敢㐱㙡挰晢㌷〸㡥づ摥㘶㤶挵㐷晤㜷㡢㤱攰㜱㔳㘴て㐳扡つ㜳㠱晥〵ㄵ㝦㐹挵ㅢ㥣ㄵ㝥㐵㠵㕦㔳㘱㉢㠸〴敦㘵㌰ㄵ昰㠶㐳㘱㈷昰㕥㠱づ挰摢〶㙡户㕡〵摥㙦㈱㔶昷㠳㠸敤㈴㑣ㅤ戰ㄸ㍡て捦ㅤ㈰昵扥愰挱㑦换㔵㈸㑤㡦㍤㕡㥥挸㈲㑡㈲㑢摦㘰㜲昴㜲㍥㈹㠳挷㉡ㄴ㜱晦摥㕣㝦搰㕢㈹㝢ㅥ摡㙢㥤㔵㜷㠸㉥㡢㌱㘷〷㍥㥥㤳昰㘶㑤㔹㥥㈳㤸㍣㔱㘳ㄹ㍥捡㐱㤰㔹换㌳愹㘲愱㔴㐸㤷攷㡥㘲〷㌰㤷㤷ㄲ㘹ㄸ㑣扦㘷づ㙡㜴㙣㤳〳㙢捥昳㙥㜷㍤て改㝣㙢昳㠵つ㜹搹ㅢ㑦㠹㜷㌳ㄲ慦㤶ㄶ㌶攳挳㐷㍥㘷〱㐵晦㥤㘰㔹㔸㝤ㄵ愴扤挹㝦ㄷ扥愸慣扣〶㌲㙦㜰㘰昰㤲㐴㉣㥤㑡㠶㔲愱戰ㄶ〹挴㜰㌷ㄸ㡤敢㤱戸搶搳ㅤ㡥㐷愳愱㥥戸ㄶ昳㑢㘷つ㜵昵㜵㄰㍦摤戳㙣敥昷㑣搱㑦换ㄴ昳㍣昷㠰ㅣ慢攷㘴慦㐴㔲愴㠴㉥㡣收㤶ㄶ㌱慦敥敥愰挱攳㔶づ㕦ㄵ㠵㘳昴ㅣて戰㡥慤㄰㍢㌸㌹ㄷ㉣㑣㤳㔲摦㈴㌹っ攲昳搳昵㔲愶扣〵㜲摣攰㐰愲昶㝥㕤昹㈳挴㙤㄰换愰〲ㄷ昷㈵攵㙤㐸㘶㐰㔲戵挳昰摦〷㤹慣昹㑦㘰攴㕤戳扣㜵ㄶ搲昵㔲昴㥦㈰散っ㤵挴㙥㄰㕡戵昰㘲㈰戴㈵昰㉥㤵〶㐲㕢㄰ち㈴戴〷㜶㔷㍥㜲㍥改㠰攵㝣晥てㄸ捣攷㐳昸攲挲愷晣ㄹ挴㥡㑦㈳ㅥ搵愲㕡㈴㤲ち愴㈳㐶㍡愶愵㡤㔴㉡摤慤㈵㔳挱㜰㜷㉡愹㉢晦㕢㔱㡤〷㔳攱㙥捤㐸㐶㠳戱㔰挴搰㠳㜱つ愴㍢ㄵ㡦愷扡㘳㤱愰㤱昶㍦㙣㔵慦扥〳㐶㘵て晤㡦搸㈲㡥㐴㘵挸攴晦㤶㉤慡㘸〹㍡㙢㕡㠳昸昳㍢㐷㡥㜰愶㈴㉥ㅥㄶ㔱㐰㝣晥㝤挸㤴㌲㈲慥ㄲ㕦㤵㤰晡ㅦ戵攵㍥敡捥愶㝣ㄶ㠸㤰ㅥ㤸愹㜶挸昱㘷㝥攸㠱㈵㠶㝦㐴㌳㌶㠶㑡〷昲愷㝣挹挴㘱愸㌶〲晢〴㙡㤲挰ㅥ㠷挲〰昶㐹愴昹昸㥦㌲扦㕤晥敦摡捣昷㉣㐶搰㤷捡㐱扥㔱㍤挸㤹愸㐰㥤〵攲昳㍦〳〵づ㔲㤹㡤愴㠳㔹㥤〰㜱慤㔹㥤〸㐹扤㔹搱ㅦ㑢愸收㈰㔳摥挶换㝢㜹昱㉣攴㤰戸搴㤳㐱挹㔰㐹搰㥤㑡㐸昶㔷㐱㌲㘹㔶慦㌸㡥㥥㑥㔵㡥晥㜴搴㠳搱搳㠱㑡戳㥡㡢戴㘵㔶㝡㌸愹ㅢ㠱㐸戲愷㈷㄰改搱㔳㌱㈳㥡ち㠴愲戱㥥㐸㍣ㄸ散づ〴㤵㌳㉡慡〱㘸ㄸ㍤㍤㝡ㄴ㤷敡㤱㤰ㄱ㡤㠷〲㐹㈳慡ㅢ㘹㕤㠷㐹㐶搳晥攷慤敡搵㌳㔱㐶㍤ぢ挴晦㠲㉤敡愴㘸ㅥ㐵㉦摡愲㡡㤶昸〹㐴ㄲ昱㥦㔷㈳㍥㥦㐵捥〵昱昹改㠳㈵㔶㜵㘶㐵户㉣攵㕤搴㍤ぢ㈹昹㤳〲㈱扤㉡㔳㐱挸昱㘷㘲㐸慦㉡㌱晣戱㈳㠶㍦㜲挴㤰扥㔵㘲ㄸ㐵㍤挰㤰㝥㤴㌵㉡摤愰㈶㠶愱㙥㑤て㠵㌴扤扢〷敦㔷㍡慤㘹㐶㍡愰㐷㜵慣戹㜱扣愲㝡户㕦扡㕤㤴㔱㝢㔰挶㑦㐷换ㅡ搴ㄸ㔳扦戶㔳捣ㄳ慦㈰㈵㤱㜸扡ㅡ㠹昳㤱愵晥㌵㠸捦晦㕢㈸㌸㈱戱摦㤶㉦愲敥戹㐸挹㥦㌷昸改㙤㘵昷〷㈱㙦㙦昲搰㘱㥣㕦户㈶㍢㥦慣㉣愸扦ち㕦㡣慢敤〹㥡㑦ㄳ戶㤴收㐶慣搹晤㤱昷㔶㤷㍣敤㘰㈷昱昱㍣㡥戱晥〵昵㘰㘰㔵㝥㠰㌵㥥捥㥡ㄷ㐳敥愱晦ち㌸㜵㜱扡㥦㍦㈹㈸㌴㍢㌷㔲㠲㐷挰捦攸㔶ㄵ晡㉢扦挱㍡捥昶ㄴぢ散ㅢ摡㜹㤳㤲晥㘴〹㘷㜸㘵挳㉥戶戲㔸㈹㠷ㅢ㑦昸㜷㘴㉣攰㝤敥散挹㔴搵㐶昶攴㐹改㐸扥㠴摦ㅥㄸ扡㕤㘳〹ㅢ扢㘶㜷㤳㜰㍣㌷戶㝥㙤㠵慢㉥扢㠲挵昹昱㕣㉢挶㜰戲挳㐶㝥㈰㔳㤶〷㘱㕥攴ぢ昵㌵㔰㘵ㄸ㐰㈹扤㥤挳㥤愱愸㘷㉦愶攲㕤戴㔲ぢ㍤摢攴攳㔳㐷㤰㈱ㄸ㐹戰㍥㡡㍡攸㤵㍤昸㄰摢慡攷㜰㥦㤵㔸㜴攵慣㕤挳扦戹攲敡扥愷㥥扤㝤昱㥥户摦散敢愰ぢ㤷㈵晥㕥㥣㜱㘳扦攷攵㑤摢摦扡攷晣㜹㕦㝢攰㠸昵扤愹昰挶收晤㥦摣扢慢敦㠷慦㘷昵㜵攷敦敦ㄳ昴捦挷攱㔳㝦㘳昵㌰㍡攱㜸㘳昵㤰㤵㔱㝦㙦攷愷㐷㤷㙦捤㑡っ愴扤㐹搰㉤昳捤ㄱ扢㔱㠲收㉡㉤散㘲㡥㤲捥㤱㔶㈶㔴晡㙡㘵ㄴ㌲㠰戹戴㌳摣攳戹て㡡㡥挷㠱搶㤴昱戰㠱〶㠰ㅦ㡣㡣攸㈸㔷㘵挵㠴㤲慦㥡㑦扤㤴㡤㄰㐳戳ㄱ㝡㜹攵戲㑡㈳㔱㜱㌷ㅡ戱㔱昶愹㝦㑢㙤慥㉥㙣㥢ㄵ挸挳㈸㍢扦㠳㥥㝡摡㔹㐰〹㍣摥㐵昲换攵㕦搴㐱户㍥敤㉣㤸㥡㜳ㄶ慤晥搳㉤昳ㅦ摣晡摦㝤㠲ㅥ摥㘹ㄶ敥㐴㡦ㅣ㘷攱づ㉢愳晥摥搰捦㤸㐰捥㐲〲っ㘶㠱㍥㕣捥挲づ㤴愸捣㠲〶㘹〷扤昳戴〳敢晦挷㔷㥥戹攵戱㍤㝤㙢㝥㝡昰昲〵晦〱昳愲㉢㥦㜶㘰㑦㍣昰搶愱愵慢㉦敢㍢昱て㌷㍦扥敤挵攷晡〴晤戴搳挰扥㍡搵挰㙥戵㌲敡敦〳晤昴散㜲㘰㙢挰㘰㘰㜴捦㜲㘰户㔴て㉣〳愹愰㤳㌴㘷㝥㉥㌸㘵㉤㐹㙦攷㠵㥤㤱愰昸ㄲ㤴㌹捤㜴〷㍥㌵㐷㙤晡㕣㔳㥢㙥㕢㈹㤸摡㈳㥤攱戸戸〱㥡戶ㅤ昸搴㑦㔰㥢㍥搹慥㐰搰㌷摢昹ㅤ㜴扤搳挲㘹捥㝡㤵㥤搰㑦㑦ぢ攷捤㉤㥤慦㝦㜴攲㠵扥摥㍦晣㘰攱摦㝤敤㔷㝤㠲㉥摢〹捥敢搰㔱㐷㍢戹搶捡愸扦㔸昴搳挹㑢㌸㌷㠰〱㥣昴搴ㄲ捥捦愳㐴挵㑥㈶㈰ㄵ㜴戲㈶㐰㜴摦捡㤵㈴㜲改ぢ㡡慢㙢〰扡㡡摡㜴搰ㄵ㑣攸㠴愷挵㘴敦㘹搷扣㝥昱摥摢㈶㔷㌰㝡散㘹㌱㜹敡㌷戳捦晥攵㜳㜷昴扤㜹晣ㅢㅦㅢ㍥攱㜰㥦愰昳㜶挲㘴搳㔴㤸㝣捡捡㘸戸㘶愴扢㜷㕣挸慢㉥挱慡㝥捥搷㠱〹昵愴戹愷㙥㑤㥢㘲㝡㘸散慡㌳搹慣摣㤰戶攱㔶愰㠸ㅦ搴㉤挳攵ㄷ敥〲昰㐳㘰㙢㉦㠵㑢㌱ㅥ戲摡攷捥慡㑣戱戰㤲㕥㔹挴㐱㜴㑢㝡愴㠴㑢㑢摤㡢ㅦ〴㤵换昸昱昰〷攱捡〰㐷〴捤㕣ㅤㄱ换昰㐷㜸㙥挷摤昹㜹挸㜶㕣扥㑤〸㈷昱戰㝦㈷攷收㘵挲㝢扢扦㔴㍥㠳昹戲㑦㡦昴慡敢戱㘶昱㐹㑣戱戹戱昹戴㑢晡㔲㝡〶昵ㅡ攸㉢㥦〵攱㙦㕣戸攰挳㕣戱ち㝣づ㥣㜹ㅤㄱ愵挸挳㈰愸㝥㜰㍣㉦㔹挲搱搷晤摡慤戵㤵㈳戶㥦㘶晡昰改㈲〸㉥㍢㉤戹㠴挶晦搵攰捤㈵戲㐶㝥㑤㜹慣昲㍦ㄹ㕡攴㙦攷搴㉦愰ㄲ㌶㈵㕤ㄱ㥤㈹敤㔲戹ㄶ挴㜹戰攳㡥㠳扤㥥㠵扥〸㔲㍢搸捤㤰㔴つ㔶搰ㅦ㜳挰昶㈳攸㍢㌹っ昵〶㤰㑡㌷攸㈳愵㜴㙢戵㤴㍥㐶㜶敥㐶㌰捥㥤换㌹㜶敥㑢搰㔷戶㠱搴㜶敥㘶㐸慡㍢㐷㌷㔵搳㌹慥晤戲挱㕢挰㌸㌷戸挶戱挱㕢㔹㌳愷㝥㜲摡晦㠹㈲捥戸㈴㉥㤱㐱扡愶㌱㝡〷㌹收摢挰㔴㤰愰ㄷ㤰搲敤搵㔲慥愲戲㘳㍢挰㌸㜷㉣攱搸戱㍢愰慦㜲㥡㈶㍢㜶ㄷ㐵㔵ㅤ攳㈲㕣搳㌱慥戳戲ぢ㍢挱搸ㅤ昳㕣㠳挴㌱扦㝡搰㜵捤挴㈲㘵晤㐷㥢〱㕣㑢㉥挸昲扦搹㌸摤㜲搵摥〲㝦〳㘵〵摦ㄹ搶愱摥㙤㌱㑣㜴㝣挱㑡㜸㘹攷㠲ㄶ挸㑥愹摦愴㤸㠶㠷㍦㤷㝡㡦挵㌰搱㐱㈳㈳㈳㑢㜴搰戸㉡㈹㐱㈳㤱攵敦愵㤸戶挱㍣昵㍥㡢㘱㐲㜰㕥愵捥晤㤴㜲㑡㈹㔶㜷㔹っㄳㅤ㥣㍥㌲㘶ㅢ㥣戶㑡㑡㄰㝥㔹晥〱㡡㠹㍣昳搴摤ㄶ挳㐴〷㔱㈶㘳㡥㑡づ㥦㍡て㔲㘶㍤㝥挲㈰摤改㐳㘰攰㑥攵㤰㤱㔹慢挵愱㑢慤㐷㑣㉤㌹戰〶㉤づ㔰㙡敤㌱戵攴搰ㅡ戴㌸㐴愹戵搷搴㤲〳㘸搰攲㐰愴搶愳㔲换㙦㜷㕡戰㥦搲摦㉦㠶㔹搲摦て愰慣ㄷ㘱㌰扢㈶㌳㠶敡㌲搸ㅢ㤹㌱㔸㤷挱づ挸㡣㠱扡っ戶㈹㌳晡㙢㌳㕡晦て㡦㔹㈲搹</t>
    <phoneticPr fontId="4" type="noConversion"/>
  </si>
  <si>
    <t>Decisioneering:7.0.0.0</t>
    <phoneticPr fontId="4" type="noConversion"/>
  </si>
  <si>
    <t>CB_Block_7.0.0.0:2</t>
    <phoneticPr fontId="4" type="noConversion"/>
  </si>
  <si>
    <t>㜸〱敤㝤〷㤸ㄴ挵搶昶搶戲摢㙣て㘱㠷㘰挲〴挸慡㠸慥㤳㘷〷挵〵㤶㈸㈰㔹㐵㍦㕤㘷㜷㘶㘰㘵〳敥㉥挹㡣ㄱ昳㌵㡢ㄱ㜳㐲㑣㔷㐵捣搷㜰戹ㄸ慦㘲扣敡㌵㠰㠸昹㥡慦攱晡扦敦改慥㤹㥥㤹㥥㘵昵昳晥㡦晦昳晣捤散愱敡㥣㔳愷慡摥慡慥慥慥㍡摤㕤愴㡡㡡㡡㝥挱挱晦㜹㤴㌰戰摤昴挵㙤敤挹愶捡㥡㤶挶挶㘴㝤㝢㐳㑢㜳㕢攵㠸搶搶昸攲㠹つ㙤敤㕤愰㘰搴㌶㐰摥㔶㕡摢搶㜰㘴戲慣㜶㐱戲戵つ㑡愵㐵㐵㘵㘵㘶㌱攴摢搸㝦㕥ㅤ㌱㤹捡㉣㈱㠱㔶㤱㘹㤰㜴㈵㈹㈳㌱㐹㍣㈴摤㐸扡㤳昴㈰改㐹㔲㑥攲㈵改㐵搲㥢愴て㐹㕦㤲㉤㐸戶㈴搹㡡㘴㙢ㄲ收㙦昶㈳搹ㄶ愴晢㜶㈰㌳㙡㐶㑥慥㍢ㅣ戵㤹摥摥搲㥡摣扤晦晥㔶㤹㠷昹晤㤵晥捡㐰㌰收慦昴敤摥扦㘶㝥㘳晢晣搶攴戰收攴晣昶搶㜸攳敥晤愷捣慦㙢㙣愸㥦㤰㕣㍣愳㘵㙥戲㜹㔸戲捥ㄷ慣㡢㠷慡晣愱㜰㌸ㄵ㡢㔵㜵摦ㅥ㤶昷慢ㄹ㌹愵㌵㤹㙡晢扤㙣敥㐰㥢㤳㙢㐶㔶敥㤷㙣晦扤㙣敥〸㥢㌰㌹慡愵㈹摥搰晣㍢ㄹ㉤㘵㥢㠶㐷㈵敢ㅢ搸昸挹㘴㙢㐳昳散㑡ㄴ㍢ぢ㘸挴愲㤵㈳摡摡收㌷捤㘳㍦慡㐹㌶㌶㑥㑢愶愴搱㥢㐶戵戵㑦㠹户㌶戵㜵㙦㈲㝥挹搶㘴㜳㝤戲慤㘷搳攸㐵昵挹㐶㕢戱慤慣㘹晦㜸敢㝥昱愶㘴〹〳攵㑤㔶ㅢ㡥㑦㈴㥢摢ㅢ摡ㄷ昷㘸㥡搹㤶㥣ㄶ㙦㥥㥤愴㑡㘹搳搸昹つ〹㔵㔲㠲㕦㔱㤷㕤摣㑡㈶つ㠵昲㌴搵捣㠹户戶㑢㡣㑤攸㜷搳㜵㜴ㄷ愹㐵㔶戹搸愵晡攷愴㘲㥢㑤㙦㘸㥡㤰㙣㙤㑥㌶㌲ㄳ戶攴㤰ㅣ㈵〱挸㙡㠷㌴㔲扡㍡㙣㈵搵捤㍥昹㔸ㄷ收㘲昴〷ㄹ戶㕦㑢㙢ㄳ㍡愴㍦㔸ㄹ慥ㄸ收慢昴昹晣戱㔸㈴散て㐶㠳昸ぢ挷挲㤱搰敥戱㔸㘵㔵ㄵ㠵挱愸㍦㕣ㄵづ㠷〲挱㘰㉣ㅡ慢昲〷捣〱㌰㘱づ愴戱㥤㐰㑡㠶㡤づ晡捣㐱攴㔵㠰愸㤲㌷㌰〰㌸戳攵㐹㔸㕣ㅢ㉦慥慤㉢慥慤㉦慥㑤ㄴ搷㈶㡢㙢㔳挵戵戳㡢㙢攷ㄴ搷㌶ㄴ搷ㅥ㕥㕣㍢ㄷ㍡晡㈸敢摡戵搸㍥扡㥣晢搴换摦扣㜸昰戸ㅢ晢捥㌸㜶㝤㑦晦挵㡡攷扣っㄹ扢㈰戰㤷㕤㡤㐹挹㜸㌳ち敡て㠶㠳㔵扥戰ㅦ攷㤳㉦攸昳晢慡㜶㥦摥㥥ㄸ㤵㕣挰ち戲㙡挱慡㔸搸敦㡢〵挲㔱㄰㜳㔷ㄸ㌰〷㠳ㄸ扢㠱㤴っㅢㅢ㡣㤹㐳挸摢ㅤ㐴愹㤷㔰〹㔶攴搱㌷㘷㐵㘷捤㌸㘸昴㑤敤敦㍦㔰搵昰昶晥愵ㅣ㜰㍡搵挰㘸㈹昴㌱㐷ㄷ敤挹敥㔵㌳扦慤扤愵㠹晤敢昷敤愷㐵㜶㍦㔵ㄵ㙥㍤挴敡愸㔶㠹晥㤷摤㜴愷ㅣ晢散愶㤳攷戵摢摤搴捡攲㜷改愹捡慣㘴㜳散〹㘲昸㐰㝡晡挲㥢㙥㌹昳㠳ぢ敥摤㜴挹扤ㅦ慣扣挷昴㔳ㅡ〰㔱敡㔹扢戱摥㍣扢摦愴搹㌷㑥ㅦ㝦搵㠱搳㈷ㅦ㜳㑢㘹㌷挵ぢ㠳㜴㤷㄰〲㔱扢扢〴愵换㐷挳ㄱ㝦㉣攲㡢愲捦昸慢㈲攸摥搲攳攵㜴㐰捣〷㜶挸ㄷ〹㐶〳㔵㝥㌳捣㥣㈲㈰㐶ㄴ愴㘴搸〴昴昷㉡昲㘲㈰㑡㍤㘵攷摥攷挹搳昷㜸昷㠴㝤㠶㥦扣昳㥡㡦晡㝥㤵㕡愲㜸㐵㤲摣昷㐲㘰㘸㜶㘷つ㠶愲㝥㕦㌸㄰慡昲〵晤㤱㘰㌰ㅣ挹㜴㔶扦㍦ㅣ昰㠵㜰㑤㠸挴晣挱㠸て〵搸㥢㤹つ〳㌱昶〱ㄹ㘴〱昰昹㠳㑢㌷㥣㜵攱晡㠷捥晡晣挱搳㍥扣昱愴て㙥扡㝡挳㝤搷慦㝦攸昲㑤愷㥥㌳㌴㌰搴慣㘶㥡攱㈰㑡㍤㘲ㄷ戰昸㑥摦捣㈵㍢摦㌷敡㠲攷收扤㔹㜲攱扡ㅦㄴ〷㑥㈹攰㐸〴㜶捦㉥㘰㔵㈰㥣㈹㔲㈰ㄴ昳〵愲㠱㜰㉣㕡ㄵ㐱㤱愲ㄱ戳〶㈹捣㔱㈰挶㘸ㅡㄹㅢっ㥡㘳挸ㅡぢ愲搴㉡㍢挷つ攳挶昸扤挶散攱户㝥㜹敦㐳㜵㝦㘹摥扥㤴㤷收㘰㑥て㜲ㅤ攴挷攰戲㕡ㅦ㙦㙢户捦ㅦ㐲昹晢㥥㌰㥢ㅦ搷挷戴搶晦昷挷㜵㘴昲扢㥣㉤收㜸愲扦㉦㠸㌱㠱㔸㝤㜰捦ㄹㅦ摥㝥攱挶〷㔷㙦㕡㜶㥦㌹㤱戲㐹㈰㑡摤㘵户㑣㜵㥦ㅢ㠳捦㕥㌲㙢挴㌵攷㡤摥敤㥥慢㈶づ㔴㥣㉦㐹㕦㤸㡣挰㉥捥扥㤰敥〷㤸搹㐴挳㈱っ戰㈱㝦愴㉡㠸づㄲ㌰愷搰昲㔴㄰㘳ㅡ挸愰つ㉢慦摣戴散㘴㉢敦て㑥扢昱挳慢捦晣昰愱㤵ㅦ慣戸㥡㝤昵昴攵ㅦ㕣㜱㈲晡慡㌹㥤㘹㘶㠰㈸㜵慢㕤㥡㍤㠶㙥㜹昲户晦㥣㌷昱捣ㄷ〶ㅥ㜱㜴㑤㤷㕦㔴㌷㠸愵㌴晢㈳戰慢戳㌴晥㤰敥㤶愱㑡㤴㈱㔰ㄵ挳挹攲㡢㐵㜱㤵㡡㥡〷搰昴㠱㈰挶㉣㤰慤㙤㄰㉥戸㘹晤挳㘷㝣㜸挳㈹ㅢ㉦扢㘸挳敤愷㙣㔸㝤㠳㜹㄰昵づ〶㔱敡㍡扢〸㕦晥㍣昶愹戶搶㕢㈷㥤戹晦ㄷ㍦㤵㉤㝣昱㉥挵㘹愳ㄴ攱㄰〴〶㍢㡢攰慢っ攱㕣〸晡愳㤱㔸搰ㄷ㡥㐵〲㡥㉢㑤搸㍣㤴戶㙢㐱㡣挳㐰㝡㕢㈷敢㠷㡦㕣㠶㝣㌷㉣㌹㘷挳㝤㉢捤㌸㌵敡㐰㤴扡挲捥㝤㘳摦挷〷㡦ㅥ昳挰愸摢㕥戹敤㡢㑦て扦㍤愲㌸㕦㤵摣ㄳ〸戸㕤慦愳搱㔸㈴敡㡢挶㠲戱㠸摦㕦㔵㤵㜵扤挶㌹ㅡ慥ち㠶㈲㌱㌶㔴挴㑣㌲扦ㄴ㠸㌱ㅢ挴㘷㤵挸ㅡ㍢慣㠱㘳攳愵㈷㙤㍡昵慣つ攷㉣挷〸昲挱攵㔷戱戵晥㜴敥晡㔵㘷愰戵㌸㤴捣㘱晡〶㄰愵㉥戲换扢攷ㅢ㍦㡥㥦㌱戲㜹攴㠵戵㥦搷㍣晣㕣敤㙢㡡㔳㙢㈹敦㕣〴慡戲搱慡昲挵㜰捤つ晢晣㤱㐰㈰ㄲぢ攸昶昳㜱愲㕣㔵攵㡦㠶晤戱㄰晡㤳㉦收㌷ㅢ㤹㔵ㄳ㠸搱っ搲㠹㤱㉥㌸搴㙣㘱㥡㜹㈰㑡㥤㘳ㄷ敦挸㑦㘶慣㌱摦㝡㘹摦㕢晥戵晢捣㑦㥥㕡㜰㥢攲愴㕦㡡搷㡡挰摥㜶昱㈲㤵㌲挱挱散㈷ㄲ昱昹㐳戸ㅡ㠴愳㔵戱㉡㑣挸㌳搷〲㈲攸ぢ㘱㡣挶㔸㕣攵昳㐷晤㘶ㅢ戳㙢〷㌱收㌳戴攱挱㍢慤㙥㘶㉥㘰㜴㈱㠸㔲㑢敤㜲㐴敡晢扣摥㜷㜵㙣挲挵晤扦ㅡ㌹戰㘱搹㕢㡡昷ㅤ㔲㡥挵〸攸㘶戵攷㉦㍥㘴敦㡦攲搲ㄳ㐰愶㤱〸挶㝦挷㐵〱攰㐴㜹挹ち㠴愲㘸搵㜰㈴㄰㌶㡦㘴㝥㐷㠱ㄸ㐷㠳㤴っㅢ㡦换搲㌱攴ㅤぢ愲搴ㄲ扢っ捦㥦㍥敥晢㉤㥥扣㙡挴〹㠹攷㤷㝥ㅦ㝢昵〱挵摢ㅥ㈹挳昱〸散㤱摤㔴攸捣改搳ㅤ敤ㄳぢ〵㐳晥愸慦㉡㠸㠹㥦捦ㄷ愸㌲㤷㈰㠹㜹〲㠸㜱㈲〸㘷㑤㍥昳㈴昲㑥〶㔱敡㐸㍢捦ㄹ㐷㕤㍤愶挷挵㑢㈷㉤戹昳摣愱搳㡥㤹户㡦㤲扢㉣敡㥤㑡戲ㄴ挴㌸つ愴㝢搶㜹㜱㍡㘵㘷㠰㈸搵㙥ㅢ晡㘴慦㤵㔳㥦㕣摢㜷摦㠷摥㘹慥㔹扥晤搳昳ㄴ敦搴愴昰㘷㈱愰ㅢㄲ㜷㕢扡㈵挳㈱㑥㔲㝤攸㘸攸㔸㍥挷㌴㌶ㄲ慡慡ち攰㍡ㅢぢ挷晣㠱㘸㈸ㅡ㌲捦㘶㜶攷㠰ㄸ㝦〲改晤挱昲㔵ㅢㅥ㌹㜱晤〳搷㙥㕣扥攴挳㝢敥昸攰慡敢捤㜳愹㜱ㅥ㠸㔲㑤㜶㠱ㅥ㕢㝡挳㜱〳㘶㙦㌷㘱挵散摢㙦敥㜹㘲㤷ㄳ㤵摣㌵㔲敦〲㤲ぢ㐱㡣㡢ㄸ摡㜸挱㔵敢㔷摦戸昱散㔳捤㡢ㄹ扤〴㐴愹搹戶㤵㕥㙦ㅥ戳㙢㘰扦㜰捤慡㐹㙤摦搴㌶慤昹㕣昱戶㔳慡㜵㈹〲㌹昳㕡㥣攴㈱㕣㜲㘳㤸愶昸㝤攸愰晥㔸收っ昲〷挲㌸捤愳㔱捣㝢㔱摢慡㐰挴扣㡣戹㕤づ㘲㕣〱搲㤵扤㠲攷昰㤵㘴㕦〵愲搴㘱㜶㈱㝥晡晡搳㈷㤷摤㜴搸㝥户㝥㌵攴敢户攷㔴㉥㔱㕢㐲㉣㠵戸ㅡ〱㍤㕦〹搹户〸㐴ㄳ㜳ㄶ㕥晤㘳搱㐰㌰㤰㍥㐷晣㤵挸ㄷ㠳㜰〴㘷㡥㉦㄰挲㘸㘸㕥挳捣慥〵㌱慥〳ㄹ戰搹昹㡡㜹㍤ㄳ摣〰愲搴㉣扢㜴扤㕦㥡扡㘱挸攷㍦㡥扢攷㠶扢㌷晣㜸㐳改搶㙡㉢㠸愵㜴㌷㈱愰㈱㡡㔴㐶敤ㅢㄸ㡣㈱㍣㝤〲晥戰ㅦ〵㡣㠶攵ㄴ愶っ攷㉦挶挲㈸攰㡢㠶㝤㈱っ㡤收捤捣敤ㄶ㄰攳㔶㠶㌶㍣戸摡㍥㠳㔷㌰㝡ㅢ㠸㔲搳散㘲㝣搹㔴搷㝦搱㜷㜷㑤戸㜵㤸敡昷慡㜱㘹㜷挵ㄵ㠱㔲慡㤸户㔳晢づ㄰攳㑥㤰㥥㍥晦愶换㡦晦攰捥ㄳ慣摡㥡㜷㔱㝡㌷㠸㔲ㄳ㙤㕢㐷昷敥㌳扣㜱捣搲㌱户晡㙦敥㜷攳搴愳㍥㔳㕣㔸㤰㉡摤㠳㠰〶摣㙦㔵〸搷戵㐰搰ㅦ昳㔵㘱搰っ㔵愱摦㘶挶愴〰㉥扤愸㉢㝡㜱㌸ㄶっ㘲㤲㙡摥换捣敥〳㌱㔶㠱㜴㘲搸っつ㌵敦㘷㥡搵㈰㑡㡤戶ぢ昸晡愷㐷ㅥ晦昱摢㉦㡥扥㜹㔵换搳捦扣搶敢㥦慡ㅦ挴㔲挰〷ㄱ搰㤸晢㜴㡦㠸㐵㠲㤸ㄱ〲㔹㡣愰〱摣㔳㘵㑡ㄸ㡡戲㥢㠴慤摢㐹㕦㌴ㄴ㌴ㅦ㘲㙥て㠳ㄸ㡦㠰㜴ㅤ㌶㌶㄰㘶户㝣㤴散挷㐰㤴摡挷㉥挴〳ㄷ㈴㘷敤昳㐲昱挴ㄳ㙢户晣晣愷愳ㅡ㝥㔰摢㐲㉣㠵㜸ㅣ〱㡤㤲慦㌲㙡摤扡〶㌰㠵て㠷慡㜸㡡〴晣搱㘰挸挲愹㘲㤸扦㌲ㄲ挲㠴ㄵ挴ㅦ慡㡡㘲㍡㕤㘵㍥挱捣㥥〴㌱㥥〲攱攰ㄵ㌶晦㑡摥ㅡ㄰愵愲㜶〱戶昸㙡㤷ㄷ捡㉥ㅡ㍤㘹昹晥捦ㄸ慢昷扥晤捣敥㙢㈱㥥㙡摦㐷㡦㙡㡤㉦挴捡㐴㘶搱㈳㔰㠹摢换捥慣昶㘰戱㈷ㄵ㑥㐵㔳㝥㝦㈲散㡢〷攳愵〳㘰戶戳换ち扣㙥㜴㑦ㅤ搰搰㥣㘸㔹㈸㌷㜰摢㡤㡣攳㘶㌲扤散㌰挴㤶㡤㙣㤹摦㥣㘸摢搶㕤㌸扤㍤摥㥥散㤷㉢换ㄸ挹㑢㌶ㅤ慢㌰挹㌶挹㙦㠷摣㘴晢挷ㅢ攷㈷㐷㉣㙡戰挴摢攷㠸戱〶搳㔲㔷㔸㍡愶㌵㜹㐴㕡㥡㔷愲ㄱ㔸㈴㕣㈰戶昳㙡㘹㠹慣㜲昵慦㤹搳搲㤶㙣㤶攲つ㘹㥡搲㔰㍦㌷搹㍡㍤挹㈵挶㘴㐲慡扡〵㐵昶㐲搰㤰挹捤愸㈸㤶㜶ㄲ〳㥤摣搴攸㐵敤挹收㐴㌲㠱昲捥㑢戶戶㉦㥥ㄱ慦㙢㑣㙥㤹愵㘲攵〹挱㌶㔹散㌱㉤昵昳摢㙡㕡㥡摢㕢㕢ㅡ戳㈵㈳ㄲぢ攲㔸㝣㑡㑣㙡㐹㈴戱㜶㔴挲愳㐸ㄵ㜵改愲㔴搱㙥㙥㌷㍦戴摢㔶㈹つ攱㘸攲敤搱收㕢㘷㜷扢捡㘹愸ㅤ㙡搱㤸㘴㥦㉣ㅥ戴ㄹ㘳㘲㤷㘶〶ㄷ㔶㜴搴㠹敢戱搴摥戵戰戶㤴㌱摤㜲晦㕤攵攲攲㍥㜶敤㐷㉦挰〲摤戸㜸㜳愲㌱搹摡攱㙡戲㘲㠹捣愷㐱㑡㐳㌸㥢ぢ愲㔷〲つ戵㐸㉤㉥㕤搸㤰㘸㥦㘳捣㐹㌶捣㥥挳㈹ㅤ㔶㥣换捡〸㙤摥㘱㍥ぢ㤶昹ㅣ挹昳㈰ㅥ㑦㤱昱〲㤵っ㡦昹㜷㉢㕥㍡㄰晦㜷㙡㘵㈸㙢改慦ㄸ愹㑣㔹㙡挴扡㜰㕢㘹ㄳ㙥㝣摢扡㜴㜱慢攵戸㜸摢㥣㜶㜶捦㡥㠵戴昷㈲挹㑢㈰愵㠳㐰㌶扢戲㔸づ愵ㄲ㉥愰昶㘸ㅡ㤵㑣挵戱㙣㉤㘷户㡡㤷捡㑡㔵㈹戸㙤昵㈶㤷㑣挷攳㕣㔹㘴㈰㠴㤳扦㝢ㄳ㝢㝦㜲㔱晢愸㜸㝢扣㙢ㄳㄶ㕦搱㑡㈶㤴㠶㐸㉡㉢挴㤴㍤㠴愷㔳㝢散ㄸ㉣㜸㈵攸戰搲㑤ㄸ㤶㈵㥣㌸㌸㕦㡡扡搸戴攳㑡愰散㍢愰ㄲ㐶㙥㐷捦㕥㐴挵摡㙥㘲㙣戲㜹挶攲㜹挹㌶慡㤷ㄹㅤ㐲㤹㝢㝡挹㔲㔷㝤摤捣昶㠶挶戶㑡㤴㜴㙣㙢换晣㜹扦愷ㅤ摡㌲搷㠱攸愳㜴〸㝡㜱攷敢〴戸㡡扡㉥㘰摢搴搶ㄶ㤵搱ㅡ㌹挶㉢㈰搶㉡㉤扢㉣㉣晥㠲晦攴㌰㕦挳㝦ㅥ㤳ち愶扢慣戴〲戲㕦戳敡捣戹㔱昷愶挹昵㜵㌳㕡㤳戲㡥㕥㈶ㄱ㐰摥愳改㠰㤶搶戹㜵㉤㉤㜳戹晣搹㔳㘲㙤㜳㤲挹㜶慥㑤㜷戳搷攲㘵捤㕤愹㉥㕤戲㔶㤰ㅤ㡢搸㍢挲扥昱㈶㐸㡦ㄱ㡤㡤晤戵挵㌶攳㉤戰扡㘰㤵摣㜸ㅢ㠱㔱ㅢ㉥㍣㘵晤慡㑢㌷㥤㝦㉦㤶㈰㌶摥㝡挶晡㠷捥晦攰挲㘵ㅢ㙥扢㘱挳晤㜷㙦㌸攷㡥晤㠳㤵晥摡㑤㔷摦扦昱戲㤵戸㉢挷㠲搹㠷㔷摦㔴扢昱昸㜳㌷慣㍡㜱挳㠳攷散敡ㅦ㕣戹愸戱㙤㤱ㅡ〰愴戸〶㝣晢つ昳㕡㍥扡㜷挹愴慢㠶㈵晦昳㘶昹㔷户愸晥戶㈰㙦㜹㝡㔷攴捤换扡昹㉥㠸摡〱㙡ㅣ㠶㄰捥㍥捣昷ㄱ㌷搷㤳㙣〰挱㘰㈲攸㘳㉣搹㘸㐵搵㘰晣捦昱挴晣㤰㘴ㄳ㠸ㅡ〲挲戳搹晣〸㐴ㅦ㙡ぢ搸㘷㈷㘱㐳㥢扢㤱攴戵攳㘷攰㝡㍡㤲愹摤愱挱㜶㌶㠹慢㐹㈴㑤愲愸扡挱戰㉢〰ㅥ㕢㤰户㍡㕥㠹㘴㥤㕢㠱㌶愰昹晦挴ㄵ摣扡㙥晦挶㙢㤱攱挱㔱愴昶㐴㘵愵㌹扦㐳挰晣ㅥ愴搴て搲㤹戵㜴摥㈳愸戸慡㔳昵㉡愱㤲㕤㥢戰搶㍥㘹㜶敢慦ㅦ㤸㝢㈲愱㡣慥㤶㠱敥㍡㉡㕢ㄱ㍡挲搱摡慢㈳搰㤶攱扥㐷㠶㠱㤱愵㡦㡥㌹㠶敤戴敤摦晢ㅡ㠰扡㘳攸戲㉥〳㔹㔷〳㠳㐷挷昰愱㥣〰㡡㠳攰敦㌵捣晦摦捥敦昷㉡㌷㌱戰㡥㉦慡戳晦㉦ㅡ㥥ㅤ㝦攷ㄱ㡦改〳㉢㝦㄰昹ㄱ㕣㑦㠷挲㡥ㄲ慡〰㤲愷㐷ㄸ愳ぢ㐶㉢〳㤳㑣昴㌰㙢愰昹昱㍦〵〶㥡ㅦ㙣㐱摥捥㑥ㄸ〶㘵愴敤ち㕢敡㝢愸戹㡦戴㈶挴愶㠷愴ㅢ㠸㘳愴敤㘱㐵㔵〴㠶攴搴散㐹愵㜲㄰㔵〵㤶㡣戴㕥挴昴愱㍥㐷ㅥ㝡愴㌵㝡㐳㘲㙤〴攵つ户㝤㈱昲㤸㔴挸㐷㔱㘴㉡〶㥢㘹㌰ㅣ挳敤㠶㐲㈸慣户〵㜹㍢㑣㝢挳搲〰晣㤹摢㈳㍢昵㕥㐱ㄴ㜶㘴㘹晡㤳っ〰㜱愰戰㤳ㄵ㔵挳㘰㐴㔰ㄸ㐴愵ち㄰挵慥㈲㈸散㡣㤸㍥搴敢づㄴ捣㝤挰捥慦攴㙥戴搹㤱㑣つ㐷㍡㌷〰㥥㉦〴挰㜳戶㈰㙦〷慢〶㤶〶戰ㄴ㐱ㄶ昹㤹㠲〰㠴㈱㌶㈳㈴㔱㄰〷〰㌱㉢慡㐶挱㠸〰㌰㤴㑡㝢㠱愸㌱㘰〹〰㝢㈳愶て昵戸ㄳ㠰搱㘰攷〳㌰㥣㌶捤づ㘴㙡㉣搲戹〱㜰㝦㈱〰㔶搹㠲扣つ戵昱戰搴挱㈲㐲搶ㅥㄶ㤷㉡戳ㄶㄱ扡愷挶㌴㌴戶㈷㕢攵㍥戱㍣㠵晦㉣敦ぢ㠹昷攰扤㜱㙢扣摥昲㙢攸㥢慡挱敤㌱摣㍤摡ㄷ㘷ㄶっ昲㙥捦慤扢搷晦扦〸昱㠷㕢㠴㤰㈵㠸慣㠵㠸づ㙥昲搱㘹㜲㤶㈱㍡㔶㜶㜴㈲摥㝦扢摥㉤㐸㤷慡㠴攵散㑥㐶晤摣晢ㅢ搹て㑥敢㍢㍢㈱戵㝤㠵ㄷ㈷搸搹昳㍢㈹ㄳㄵ㕣〸攰扤晥晦㕦㐶挹㜵捡戳㤶㔱挶㜳㈴摣㤷㘴〲挹㐴㤲㐹㈰敡㉥㝢㤸㍤〵㤱㔳〰攰ㄳ挵㐵㐵敦㈳㕣㘴㑥愶捥ㄴ㤲愹㈰㡥㘱㜶㍡愲挶っ㤰㜲扤戱摦摦敡㘲㤸ㅣ敦㡢㤴㌲昴捥㘴挲晤㐱扡ㅦ〰戲摦戸㘴㈳㤶攴㝥㉦㐷戸搲㠹挸愶攳㐵〴昴㥦摥㔰摡戲㘹晡攲收晡㌹慤㉤捤㜰㐷攴摡挶㠸㝡㜸㤲戵愹戸搱㌴戱愵㘶㝥扢搱㌴慥〱晦㜵㙦㥡㤶㥣㤷㡣户搷㘰挹ㄵぢ㈷ㄳ攱慣㈰换㈲攳ㄳ㡢㝥晤散晣昷㕢㌶㈹㉡㐱ㄵ㡡ㄴ〰搴㉢㈷㉡昷散戵ㄶ㌰㙣㜸㉢㐷戵挰㉢㌱㈹づ㤹㠴摤㌰戰〴昶〷㕣ㄷ挱扥㍥㑡㜷搵扦㙥搹慢攲㡡摢㝦戱晦㍦づ昷愱㜲㤸ㄳ㔰改晣㉢昱挱㐸攲改㐸愶㈶㈱㕤晡㑡㙣ㅣ㐶搸搰つ慣㔹改㤵㠵慥挶㔷搸㠲㍣㈷㡡㈹戰㌶㠰㈵㐹挰㤰扡捣㍥㑦挰挸㍥捣ㄴ挴收㙣㤲㌹㈰㡥昳攴㜰㉢慡愶㈲㠱㥣ㄳ㜳愹搴〸愲愶㠳㈵搳㤱㈶挴昴愱捥㐳ㅥ㝡㔶㙡㑥〳㍢ㅦ㠴㈳㘸戳㈳㤹㥡㠱㜴㘹㄰ㅣㄳ搲愵㠵〰㌸搵ㄶ攴昹㙤ㅣ〰㑢〳㔸㡡㈳㔹攴㤳㙤〰戸扦挲扦捣㐰㜱㌴挴收㌱㈴挷㠲㌸〰㌸摥㡡慡〳愱㉥〰㉣愱搲〹㈰敡㈰戰〴㠰ㄳㄱ搳㠷㍡摡〹挰㉣戰昳〱㌸㤵㌶捤づ㘴敡㘰愴㜳〳愰戵㄰〰㐷搸㠲㍣慦㤱㐳㘱㘹〰㑢昱㈷ㄶ戹挵〶〰㡣散挳㍣て㘲昳㝣㤲ぢ㐰ㅣ〰㕣㘴㐵㔵㉤ㄲ〸〰ㄷ㔳改ㄲ㄰ㄵ〷㑢〰㔸㠶㤸㍥㔴捡〹挰㘱㘰攷〳㜰〵昴㍤㘶〷㌲㔵㠷㜴㙥〰晣㑦㈱〰づ戶〵㜹㡥㉢㐹㔸ㅡ挰㔲摣㠰㑣搵慣㠲〰摣〴戱㜹㌳挹㉤㈰づ〰㔶㔸㔱㤵㠲ㄱ〱攰㌶㉡慤〴㔱㜳挰ㄲ〰㙥㐷㑣ㅦ㙡㡡ㄳ㠰搹㘰攷〳㜰㌷㙤㥡ㅤ挸㔴〳搲戹〱㌰愶㄰〰愳㙤㐱㥥㈷っ㕤㔸〶戰ㄴて戲挸㌵〵〱㜸ㄸ㘲昳ㄱ㤲㐷㐱ㅣ〰晣挵㡡慡㈶ㄸㄱ〰ㅥ愷搲ㄳ㈰慡〵㉣〱攰㐹挴昴愱㠶㍡〱㘸〶㍢ㅦ㠰扦搱愶搹㠱㑣捤㐳㍡㌷〰㝣㠵〰搸搳ㄶ攴昹摡戴挱搲〰㤶攲㐵ㄶ㜹㡦㠲〰慣㠳搸㝣㤹攴ㄵ㄰〷〰慦㔹㔱挵ㅤㄹ〱攰㜵㉡扤〱愲ㄶ㠰㈵〰晣〳㌱㝤愸㐱㑥〰收㠳㥤て挰㍦㘹搳散㐰愶ㄶ㈲㥤ㅢ〰晤ち〱戰㡤㉤挸㜳昲㌹ㄲ㤶〶戰ㄴㅦ戲挸㕢ㄵ〴攰㈳㠸捤㡦㐹㍥〱㜱〰昰㤹ㄵ㔵㐷挱㠸〰昰㌹㤵扥〰㔱挷㠰㈵〰晣ぢ㌱㝤愸㥥㑥〰㡥〶㍢ㅦ㠰㙦㘸搳散㐰愶㡥㐵㍡㌷〰㑡ち〱搰挵ㄶ攴㜹ㄸ㉤㠱愵〱㉣挵㝦㤰愹㔲〵〱㈸㉡㠶㡥㈲㈹〶㜱〰㔰㘲㐵搵〹㌰㌲㤰㠶㑡挱㌰つ㄰㜵ㄲ愲〲㐰㔷挴昴愱扥晦㌹㜳ㄹ㌴昸搰㠸攵㥡㤴户㌸搳つ㈲㡦㐹㠵㝣㠴㐴愶㑥㠶㑤㌷ㄴ㍥㐳づ慥㙢攱㥦摡㠲㍣㥦愷㔳㘱㠹户攷㘶㕦㘶户〵挹㤶㈴㕢㤱㙣つ愲㌶㈲㈹㤷慤戸㔳㜷〷晥㌲搷挷㝥搴搹㤶㘴㍢㄰〷㌲㍢㤰挷㠹㌴㈶捥㑢㤱㘴㈰㌳攸㑦收〰㄰㜵㍡愲㥣攸挲㍦ㅦ搱㠲戳愵搳愸㤱〷㑥〵㤲㜸捣づ㘴敡っ愴换㠰挳搹㤲㌵㔳㕡㔷〸㥣㤷㙣㐱㥥ㅦ搷搹戰㈴㕤愴㤲挵晥扢つ〴㤸搹㠷改㠳搸昴㤳〴㔸扡捣㑥㐹挸㡡慡㜳㤰㘰㈰晥捣㌰㤵㈲㈰敡㕣㐴愵㡢㐴ㄱ搳㠷㕡㠳㍣搲㌳愵㍦㠱㥤て挰㕥搰昷㤸ㅤ挸搴㜹㐸㤷〱攰㉤㕡㜹ㅢ㐴㍤㕣〸㠰㠷㙣㐱㥥摦搸〵㐸㈶扤㘳ㄴ换㍤㥡㘴っ挹㔸㤲㜱㈰敡㍥ㅢ㤴て愱昹㈸晥㌲扤㘳㕦敡㑣㈰㤹〸攲〰㘵㍦㐴㡤挹㈰㉥户㔹ㄷ挲挴㐰晣㤹㔳㈰㌷愷㠲愸㡢ㄱ戵㝡换㌴㐴ぢ昶㤶㡢㤸㉡慦户捣㐴ㄲ㡦搹㠱㑣㕤㠲㜴ㄹ戰㌲扤攵扡㐲㘰㕤㙢ぢ昲摣攳㉥㠳㈵改㉤㠷戲搸㔷摢挰㠰㤹㝤㤸㠷㐱㙣挶㐹敡㔸扡㑣㙦㐹㔸㔱㜵㌹ㄲっ挴㥦㤹愴㔲ち㐴㕤㠹愸昴㤶搹㠸改㐳㕤㠲㍣搲扤攵ち戰昳〱㤸ぢ㝤㡦搹㠱㑣㕤㠵㜴ㄹ〰㌲扤攵散㐲〰㥣㘵ぢ昲㕣昳慥㠱㈵〱愰㥤㐵㍥愳㈰〰ぢ㈰㌶ㄷ㤲㉣〲㜱〰㜰愴ㄵ㔵搷挲搰㐰㔶攷㈸㉡ㅤつ愲慥㐷㔴〰㌸〶㌱㝤愸ㄳ㥣〰㕣〷㜶㍥〰㑢愰敦㌱㍢㤰愹ㅢ㤰捥つ㠰㐵㠵〰㔸㘸ぢ昲扣晦㙥㠶㈵〱攰㜴ㄶ㜹㝥㐱〰捥㠴搸㍣㡢攴㙣㤶㉥搳〳晥㘴㐵搵㉤㌰㌴㤰搵㌹㤷㑡攷㠱愸ㄵ㠸ち〰攷㈳愶て搵攸〴攰㔶戰昳〱戸ㄸ晡ㅥ戳〳㤹愲㌳愱ㅢ〰㜵㠵〰㠸摢㠲㍣扦挳摢㘱㠹扢慢昶㡥攲ㅤ〸づ挴㥦戹ㅣ㘵㌰慦〶㔱㜷㈱捡㕤㐵敢攸捣㔶捦㥤㔰捤慦搵㜵慣㤵挷散㐰搸㤱㑣摤つ愳㤹㉡㜷㔱挸㐲㠶挸㘹㠵慡㍣搵ㄶ攴戹㐷摥ぢ㑢搲收㜷戰㝡㤳愱收扥挷㜳ㄷ㈱戸㥢攴捦㔲㜴慢㑥搸㑤扦搷㡡慡晢㘰㘸㈰敢㝡ㅦ㤵㔶㠱愸晢ㄱ㤵㌶扦ㅦ㌱㝤愸㌱挸㈳㝤搶慦〲㍢ㅦ㥤㠷愰敦㌱㍢㤰㈹晡㔴㘶〰挸㥣昵㝢ㄷ〲㘰㉦㕢㤰攷㝥昹㄰㉣〹〰㑦戱挸戱㠲〰慣㠱搸晣ㅢ挹㕡㤶㉥搳改㥦戱愲敡㘱ㄸㅡ挸敡㍣㑢愵攷㐰搴愳㠸ち〰捦㈳愶て攵㜳〰㘰晣ㅤ㤲戴愷㘶摥昸晦ㄲ愴㜰㝥〲捤〷㐹㘴敡㌱㤸㜵〳㘲攷㐲㐰㔴搸㠲㍣ㄷ搰㈷㘰㐹㠰㜸ㄳ搹愹㥤ち〲昱㌶㑢昳㑦㤲㜷㐰ㅣ㐰扣㘷㐵搵㤳㌰㌴㄰㝦收晢㔴㕡て愲晥㡡愸〰戱〱㌱㝤愸㝥㑥㈰㌶㐲㘲戹㡢收愱戰〹㈲戸㙤㠰收愳㈰㌲挵㠵て㌷ㄴ扣㠵㔰㈸户〵戹㝥愸愵㑦挳搲慦昰ㅦ散〶㜵㌳戵㝦㐳㜲㈱ㅤ㥥㝡愶戲㥥㍥散㤱ㅡ搵戲㕦㑢晢愸㠶戶㜹㡤昱挵㝤㔲㜶攰㠰㌹挹㘶昸㑥戶挲㠵㌲㠷搷㌲㙦㕥㌲㘱愶愶户捣㙦慤㑦㡥ㅦ昵㐷昰慤㤴挶㠲慢㤰㔲㐵挵ち挷㙦㜳ㄷ㉣㐲㑡㜴ㄵ晡㘹㤴搲挹㉦搷敢换戱ㅤ㤱搹昹昲㐲戱㍣㠳攸㡣㠶昶挶㘴户㤴挸㈵㕣㤶〲㡡㜰㐸㑤㜴㑤捤㤸〳㐷愸㔱㍤㔲㘳㕢ㅢㄲ㡤つ捤㐹㌶〶㜶搳攸扡㍢㌱㌹ㅢ捥愷㔳㕡摡ㅡ昸㌴㜳㡦搴㡣搶㜸㜳摢㍣晡搱搵㉦敥㥤ㄵ㤳㤵攵搲搴挸㠶收㌶㘴㈳捦㤰㌲㕣㥥㥡㍥愷㘵㈱ㅥ慣㥦摦搴㍣㌶㍥慦敤て搱㉡㑡摡㠵㐴㥡㐶ㄵ慢攲㘲㔵㔶㕣昶㕢摢挷昸ㄲ㘷㔷ㅦ敢㌹㤵晥攸愷敤慤つ㜵昳〹㤸攴ㄳ〰㉤㈱㤱㌶㉣㉡㝤づ愱づ㜶㤴戸慦㘴扢〴搳摤㤵㘵捤㝡慥搰搵昳㌲晤戶㠲敤愱㙥㝥㠵攲㜴晦ㅡ㘴摦戱㌳挷㘷ㅣ挱晦㔷㡦晥㤷㍥て换戹敢昴戹㍤㉦敤㜷扢〵㤴㝢㕡㕤㠸㍣昶㈸㥣㤹攸〹㡣攵㜶㑢㑦㑡㜴搸㐳㝢㘶㠲㘳攰扡搹㍤㌵㌱㕥㤷㙣挴㡥㑣㔳扣扤愷ㄵ攱敥ㅡㅥつ㙦戳㘵㌵㉤㑤㑤㜱㜶㌹㜶搷改昵昱挶㘴㔹㙡挴晣昶㤶㐹つ捤㘶ち㐴晡愵捤㡡㉦〲㉢扥㐸㔸摤㔳搳攸㠹㉥㘱摡㙡㤹ㅤ㙦㙤㘸㥦搳搴㔰㕦挶〸扤挵晦㄰㝤ㄵ攳㝦〹挰搴㠷ㅥ㑢㜲昷㠹慣ㅤㄳ㌴㜷㈵㜶慤〸ㅤ㥢ㅦ㍤扡㔸ㄹ昸愷㝥愳㜳ㄸ㐶ㅥ戹㘸㤸摦挲㕡㈹晥㘴㈸㤲戲㝣㈱づ㝤〸㝥㜱ㅣ扡愸っ㑥敡敦㔴挰㥦昹ㅤ㔴ㄹ攰㕦挹㡢㈰ㅤ㝡戱㜶㠵㠲㘷㘲㑢㍣㌱〶㝢昹㉤慤㕤敤㔷㔵㤴愱㘹㌹搴戴㝡改㔷㕣〳㔷㜵戸挰㉦㘸㐸㈴㕢换挸㤸㡥扤慦ㄲ㝡㈴ㅢ㔶ㅢ昲㘴㉥㉡㉤敤㔶收㤶搷㜸㙤㙢㤰敤愸改㝣搵挷昸㍣晢㥦㑣慤慡㘶搹㍤ㅥ戹㐴㝤㡦敡㤸晦㘶㥤戸づ挲晡攴㈸晣㐰㠵ㅦ㐱㑡搷㐱㤸摢㌶搹㉥扥㜰〴㌶愱㔴㐲户戶ㄲ扡戳㤵㘹㌷戶㔲愹㐸㌷㠷摢㥡㘱戹慢㤵改㌷㐷ㄸ搳搱换㤳〹㡦㌵扥㜲攷て㔷㠶愲攲攲ㄲ㌴戵㤱敢㘴㤱㤷㉤㡣㌵㑤㑦㡡ㅢ戲摡〱㐵㌰㝥㐲㠹扢昱㘴㠱晤摡搱挱㐰摥〴〱㤳散晦㐰愷挸愳㕥〳搵ㄵ摦㡥ㅣぢ㤹㕦㔸㜱㍥晢愲摥〵㤳㤷㝦挷挵㑡扤㡦㈸㉦㔸㐵㠶㠲㑡㘷〷㐸戵ㅥ㈹㌸㐸㥡挵㌴扣〱㈱㡥㍤改扥㔸〲敥收晢攲㐶愶挰㥦挹搷㜶㌰㈰㝦㕣愹搰搵㤰㡡㔹搵㌰愰㘳㜶愵攲㈶㜷㠵㌲㉡昰愵㉥敡㈳㈸戰㤱つて㘲㘹昰挶㠶晣㙥攰㜵㠷づ挰晢捣㘱㤴て㉣搹攰昵愰搱㥥㌴晡㥤㐳〱㐱慤㔰㑥〵㉦ㄵ扥㜷㔷攸㐵㠵摥㔴愰昷㥢慥搸㕡㔴搵攳搹ちㅣ戳てㄵ晡㔲㠱㕥㘸戹敤㐳搷㌳慢㝤戶㠰㑡愷摢挷㠳㘴搲㍥㕢搲㌰扤搶戲摡㘷㙢㜰㌷摦㍥昴㙥挳て敦慥愱ㄱ〴攴㡦㉥㙥扡ㅡ愵㘰摡㐸昵㠳㡥戹㉤ㄵ改晥收愲戰ㅤㄵ戶愷〲㍤攲愴㝤㜶㐰㉣摤㍥ㄳ摣㍢㜷㝦攸愰㝤晡㍡㡣㍡摡㘷〰㡤づ愴㔱㍡慦攵㠲户㈳㜸ㄶ㜸㍢㐱愵搳攰昵㐷㌲〱㙦㄰つて㐰㉣ぢ扣㥤挱摤㍣㜸㍢㈱ㄹ㝥㐵收㉥㌴愲挱愳㘷㥣挶㠶㑣ㅢ扣㕤愱㘳づ愶㈲扤收㕣ㄴ㜶愳挲㄰㉡散っ〵〱㙦㜷挴㜶搷㈳挳㘶㥦㡥攴㜳㜲戹昷ㅤㄸ㍡㉡㘱〴攸敥收挸搵㠱敥㥥捣搵挷㕣改ㄹ㈷攸攲ㄴ㐷愱㌹捦㔵㜴㠷戳搰昵㐳愵搳攸搲㠱㑥搰つ搰㌰㍤改戲搰つ㠱扢㜹㜴改㜱㠷ㅦㄶ㙣㘹㐴愳㑢户㍢つ㥥㘳攸㠸㐰挷㡣㔲㤱㉥㜹㉥ち㔵㔴㠸㔱㠱㕥㝡㠲敥㔰挴搲㕤㤳㉦愶㜰〱㙦㙦攸〰扣攱づ愳づ昰㠶搱攸㍥㈰愵昴㠱改㘰㕡〶㔷〱㠷愷㔴㑦搸㌴㔲㌳㥢ㅢ摡㌱㘳㘲昳㡥㘹㘸挷搸摦㍤〵㠲愰戸㌴昵㤳㤹㤴㈳搱㤰昴ㅤ摡㡥昹愲慣㕢戶ㅤ昲攵捥㝢戸㐱㉥㘲敢敥捥㜱㔳户㌹㈵戹换㜳㈹攳ㅦ改戶㑦㔹㉥㉥㐵搶㥤㕦㠷㉦扣挹攰捥㤹晢晦攲㈶㔱晡㄰摥愷挲㙥愳昰て攷摦〸㠴㜹捦戸敦㘶扢㠸挳㍦慥ㅢ扢ㅤ敦ㅢ㉤㕥て摢〱㜳㝣㜳ㅢ㘶㕥ㅥ㍢㠶㜹㜵㑦㍢㌸㜹㝥㝢㤶㈴扥愸㡦㉤挱搳㉦㤳㥢㜱㌷㔴ㅦ㙦㑤晣㐱愶搲愸㥢㜵挷㈷戳攲摦㜸㌷づ㈳㍣ㅣㄳ㘰慣慦㡣戴戱愶㈳摡慦㜱㉦㉣㠷愵ㅥ㠴㍢敤㜵㔸挶ㄸ㕦戸㈰慤㘰扤㈰㑡㤶㐶愶㈴戱慥㠱搷㠰㌵㈶晢㐸㠲㜴㔴愶㡤㘶㙡㐴㕤ㅢ㙥戳摢㜹て㘵㠷攴㐴㌷㔳搳㤲㡤㜱㍥慦㡡㕢ㅥ㍢㌴愵扥ㅤ捥戴㘹〳㝣ㄶ昵㡦搳㐲㐰愴挴㙥㈵㈵敤㘴㜴㌰扥㘵㔷㠲攷搰㙦㙣㔵戴㕢㑡㡥捦慡搵愵换㜸摣㕣㕤愴〳搶㐵愹㤴づ㠶ㅤ摣戹㘳慣㜵晡㠲昲㑣敡愳㕤㤴慤ㄱ㑥〶慦敥㥡挷摢晢ㅥ㕣㠶㘹㙤挷〳摢㝣㡦㔰㌹㑦㥤㐶摣晦戴㌷攰㑥戶㜱㜱捦搴昸收晡挶昹㠹愴摣〶敢㌱㕢敥㠶晦㄰敤㔵〲㐰散㌳慡〳㕣㙣㔰挶攳ㄵ㡡晡〱摥摦扥ㄶ㘶搶攰㑣㤳挱づ㌶攰挳㙥㥦㜷㜴晢晣搵㡥户ㅥ㤴扥㜷挶㙤㕣㕥慣㠷愱㉤㡦挵㌱㡤摥㤳㌵摡㜷㔷捥㌸㠷摡挴㤶㠹㉤㕣㑢㜳戰挶㌵㔸慣㍦㐴㍢愱㥥㔶㌳攱㤹愴摦扣ち㐹㈳㌸戶扤昲搰挱㑦㝢扢つ㕦扤攲㤱ㄳ㔷ㅥ昱㜹㌵㕡㐱㘶㙣昴慣㤵ㄹ㥢㜸㌳捡挴㈹〰昵㘲ㄲ㤹搵ㄵ㈹晡摤捡散㙣㉣㕡㑤搱〱搷㥡㥤㔹敤㘹㡥〷㜷昳戳㌳㍡敡攲〷挷㕦ㅡ㐱㐰晥攸㤹慢㈷㕦㔶㠶㍣晤捣〹搰㌱㈷㔲㤱㕥扢㉥ち㤳愸戰ㅦ㐸㈹㥤㌷㜳〷㥡㠲㝥愸㐸㔰㠴㠷㡥㜱〳㕥搶挴㠵〸㥣愶〶ㅥ㌶㠶㥦㉤ㄶ㌳㡣㙥㘵昴㔳㌵㈷㐳敢搹㘷㥥ㄹ挶昲㈸㍡㝡敡晣戹㤸㙦㑦捥愷㌰晦愹㈰㜸㜶㉥晦ㅥ㠳㕥㤸搶㉣㜸ㅡ㔴㍡㍤ぢ愶摦愶攰㍣㥤㠶改挰㤹㌵ぢ㥥〹敥收㜱㍥ㅣ挹昰㠳扦㌳㡤戰ち晣愳户愷慥㠶㘳ㄶ㝣〰㜴捣〳愹㐸㑦㔰ㄷ㠵㔹㔴㌸㠸ち㜴づ㤵㔹昰挱㠸愵敦㌱㍡昵㕥㉥㤷㘹昲㈱㌰㠲㘹㌲㍤㐸㜵慥㡥㘹昲愱捣戵㤶戹搲摢㔳敥㌱㌲㙢改㡡㉥㥥ㄶ扡㠷㐱愵搳攸搲㈹㔴搰㡤搳㌰扤㐳戳搰慤〷㜷昳攸ㅥ㡦㘴昸挱て㤷㐶㌴扡㑢㄰搲搵〰㕦㜷㤲㈴挲㘶㡡㡡㜴㌳㜵㔱㤸㑤㠵㌹㔴愰攷愹愰摢㠰㔸㝦㝤〷㔷昰㌵㘳㉥㠸捥㐵㐲㈰㑡㤷㔴㥤㤳〳搱㐶收搴挴㥣攸㍥㥡㡢㈸㝤㐶㉤㐴㥢愱搲㘹㐴改㘵㉡㠸戶搰昰〵㠸㘵㈱㝡〴戸㥢㐷㤴㙥愹昸ㄵ㤹慤㌴愲ㄱ愵㙦慡慥〶㤹昶㘹搷〶ㅤ㤳慦昶㔵昴㕢㜵㔱㤸㑦㠵〵㔴愰㉢慢㈰扡㄰戱㝥ㅡ㔱敢㥥㌸敢攵㔰㉥㔸㉥㐶ㄲ㘰㐹敦㔶㥤㠷〳换㈳㤹挷㔱捣㠳㥥愸戹㔸搲晤搴挲昲㘸愸㜴ㅡ㑢㍡慣ち㤶挷搰昰㉤㠸㘵㘱㜹ㅣ戸㥢挷㤲ㅥ慥昸ㄵ㤹挷搳㠸挶㤲㙥慥扡ㅡ㡥㜳㝦〹㜴捣ㄳ愸㐸ㄷ㔸ㄷ㠵ㄳ愹㜰ㄲㄵ攸ㄵ㉢㔸㥥㡣㔸㔵㌶㤶扦攲㜵㙦㉥㐸㥦ち㠳㐰㥡㙥戴扡〴㐳挹戱搶昷㤶戲〴愷戱〴㜴㜹捤㐵㥡㝥慥ㄶ搲愷㐳愵搳㐸㍦㠲㘴㠲昴ㄹ㌴晣㈸㘲㔹㐸㥦〵敥收㤱愶㉢㉤㝥㜰〶愱ㄱ㡤㌴晤㘹㜵㌵挸戴慢㜱づ㜴捣㍦㔱㤱扥戶㉥ち攷㔲攱㍣㉡搰晤㔶㤰㍥ㅦ戱昴㈸扢昹㤵ㅣ扣慤捥〵摤ぢ㘱〴攸搲㐷㔷攷敡攸挷ㄷ㌱搷㡢㤹㉢晤㘹㜳搱㕤〷㥥㠵敥㈵㔰改㌴扡㜴扢ㄵ㜴㤷搱㌰晤㙦戳搰扤っ摣捤愳㑢㍦㕤晣昰扡㌱ㅡ搱攸搲㔹㔷㔷挳搱㡦慦㠰㡥㜹㈵ㄵ改挸敢愲㜰ㄵㄵ㤶㔳㠱扥扤㠲敥搵㠸昵搲晤㌸昳愲㍤ㄷ〸慦㠵㈶㈰晣愷挳戴愳㠳㕥㐷搳搷搳㌴㍤㜲㜳㈱晣〸㍣ぢ挲ㅢ愰搲㘹〸改戸㉢㄰摥㐸挳昴攰捤㠲昰㘶㜰㌷て㈱㍤㝤昱㠳ㄳ㍣㡤㘸〸改敥慢ㄱ〲㕦㜷搰㕢ㄱ㌶㔷㔰㤱慥挰㉥ち户㔱㘱㈵ㄵ攸ㅤ㉣㄰摥㡥㔸㝡㌱㙣扣晢㍡敤㥤搰〱㜸昴㄰搶㐶ㅤ晤敦㉥ㅡ扤㥢㐶改捤㥢ぢ㕥ㄱ㥡搸〲敦捦㔰改㌴㜸ち挹〴扣㝢㘸㤸摥扦㔹攰摤〷敥收挱㉢㐱㌲ㄴ〹ㅥ㍤㌴愲挱㘳㍡㕤つ昰㌵㜸昷㈳㙣慥愶㈲摤㠸㕤ㄴㅥ愰挲㠳㔴攸ち〵〱敦㈱挴搲攰㡤㜵〷敦ㄱ攸〰㍣㍡て㙢愳づ昰ㅥ愵搱挷㘸戴㉦ㄴ戸㥡㘸慦㈴㍤捥㘴昶㑡搲ㄳ〸㜳㔵㤶㉥挲㕣㑤搲㐷昶ㅡ挸㤳戶搶㤶搰攲㍡〸㙢扣戹㝢㙡戵ㄵ㤴㜹㕦㕤㘴㍥㠵攴㤹ㅢ扢㌵戶㌱扡㈱昳收捥㍡扥昸挵扡㈵扦扦扡晢㡥㝦㝤㘴户戳㍥慦㉥戲㙦㍦攸㡦㉣捤㉣敥挱㤲㜷〰㘹㥣户ㅦ昴㔶㤶㈶㕤ぢ摢㡡㙥换㔶㤳摡户ㅦ捦㠰扢昹㈶愵㝢戳ㄴ昷㔹ㅡ㐱づ昲搷ㅦ㕣つ㉥㑢㙡て搸捦㐱挷㝣㥥㡡〳摣ㄵ㕥愰挲摦愹㐰㙦㘸摥㠲㤸㉦㈲㤶扥㙢愸㜰㈴㜳摣㌵扣挴㘴敢㤸㡣捥挹戹㍤㥥ㅥ挹㔶㡦㝦ㄹ㉡㥤敥昱㝥㈴ㄳ㜸㕥愱攱〰㘲㔹㍤晥㌵㜰㌷て㑦〸挹〴㥥搷㘹㐴挳㐳捦㘷つて㠲ㅡ㥥㌷愰㘳晥㠳㡡ㄱ㜷㠵㌷愹昰ㄶㄵ愲㔰㤰ㅥ晦㌶㘲改㔹㤸换ㅢ㌱㕤㠶摥㜷㤰〴㈷〰㝤愷㜵㈱昶捡ㄴ攲㕤收昱ㅥ昳ㄸ〵〵挷〹戰㥥挹散ㄳ㘰〳挲㍣〱㐶㐳愵昰〹昰㠱慤㐵㌷改㑥㥦〰㘳愱㙣㥤〰ㅢ㤱㍣㜳〲㙣戲㡤搱搳摡㜹〲愰㔰㌸扥㌸捥晥ㅦ㉦㐱戰敥扦改㜲㙤㥤〰昴㜸㘶挹㡢㜲㑦〰㍡㘴㑢ぢ㝦っ摢㡡㥥搹㔹㈷挰愷攰㙥扥㠵改挱㉤㉤晣ㄹ㡤㔸ㄹ攱搶ㅥ㕣つ㉥㜳户㑦㠰捦愱㘳㝥㐱挵愹敥ち晦愲挲㤷㔴㤸〶〵㌹〱扥㐲㉣㝤〲搰㠷㕢摢㜵㥣〰㕦㌳搹㌷㑣㐶㝦敢摣ㄳ攰㌰昰慣ㄳ攰㕢愸㜴晡〴㠸㈳㤹挰昳ㅤつ搳㍦㍢敢〴昸㌷戸㥢㠷㈷㠱㘴〲捦て㌴愲攱㐹㠲慢慢㠱愰㠶攷㐷攸㤸㍦㔱㤱㡥摥㉥ち㍦㔳攱㍦㔴㤸つ〵㌹〱㝥㐱㉣㍤攴㡦㜷摦㍣ㄲ㤷ㄱ㡦愲晦户㌶敡ㄸ昲攱㉥㔰㘴㜶〱㔱敤㔰挸〵㙦〱㜸ㄶ㜸㜸㈷㘰攷挱㕢㠸㘴〲㕥㈹つ搳户㍢ぢ扣慥攰㙥ㅥ㍣晡㠰ぢ㜸㘵㌴愲挱愳㈳戸慥〶昸ㅡ㍣㝥㕥挵昴㔰㤱㑥攲㉥ち摤愸搰㥤ち昴ㅢㄷ昰㝡㈰㌶㔸捦搷㌶㍢ㅢ㜶㥢ち㤷挳〲〶㤳㈵㡥㉣ㅤ搰㝡㤹㘵㉦㘶㐹㉦昰㕣㘸改晡㙤㐱摢ㅢ㉡㥤敥㤷㜴ㄶㄷ㘸晢搰㌰扤挶戳愰摤〲摣捤㐳㑢敦㜲㠱㜶㑢ㅡ搱搰㥥ぢ慥㐶づ㐱つ敤㔶搰㌱户愶攲㜹敥ち摢㔰愱ㅦㄵ捥㠷㠲㐰扢㉤㘲㡥愹戰㝥㘳慤换㜸扣㍤㌴〱攱挵づ搳㐳㌳㜹敦㐰搳㍢搲昴㜲㠷〲攴扡㜰晤愹㌰㠰ち㔷扢㉢っ愴挲㑥㔴戸捥愱戰ㅥ㤵戶扤㈲〶㔱愱㠲ち昴摢捥㙤愵扢挰戳㕡㘹㘷愸㜴扡㤵敥㐶㌲㘹愵㕤㘸昸捦㠸㘵戵搲㘰㜰㌷摦㑡昷㈲㤹戴搲㙥㌴㠲㍡换摦㝤攰扡戴搲㄰攸㤸扢㔳㤱づ攳㉥ち㝢㔰愱㤲ち昴㈱㤷㔶摡ㄳ戱㕦㜱㍢㠸户昰扡㌴愰ㅦ㐶搰㠰㜴㌴搷戹㍡捥㠱〰㜳つ㌲㔷㍡㠵攷愲㑢㑦㜰ぢ摤㄰㔴㍡㡤㉥㝤挷〵摤㌰つ搳㠹㍣ぢ摤㈸戸㥢㐷㤷捥收㠲㙥ㄵ㡤㘸㜴改㜱慥慢㠱戱㔵㜷戳ㄸ㜴捣愱㔴愴㌷扡㡢挲㕥㔴搸㥢ち㜴㔰ㄷ㜴㠷㈱㤶ㅥ㥢挷攲㍤搳㉥攰㔵㐳〷攰搱〱㕤ㅢ㜵㠰㌷㥣㐶㐷搰㈸ㅤ挹㜳挱愳昷戸〵摥㐸愸㜴ㅡ㍣晡㥢ぢ㜸㌵㌴晣づ㘲㔹攰㡤〶㜷昳攰搱㐱㕤挰ㅢ㐳㈳ㅡ㍣㝡愹敢㙡㌸挰ㅢぢㅤ㜳ㅣㄵ搷扢㉢㡣愷挲扥㔴搸〰〵〱㙦〲㘲ㄹ昰昰捥㘸ㄷ昰㈶㐱〷攰搱㙦㕤攷敡〰㙦㍦ㅡ㥤㑣愳昴㠰㤵挲㑥㘱捣㉥㙣改户攰收㍡攷攵㌹㑥㑡づ㈹扡㔰㑥㙦㕦摣〸户㔵〶改慣㘷㠵戸摡㡦㙤㜰昰攰㐲搸搲㡡ㅤ戰㤲摣㜷户愴搳慥㐵挶摤晡收扣㈰㔷㤲㔱昲㌵㑡㔳㝡晢㡦昹㉦㠱㑤愷㘷挱㌳㙦换㘴ㅡㅥ挶㌴ㄴ戱敦愴㠶晡搶㤶戶㤶㔴㝢晦改㜰挹敥捦ㄷづ攳㜹㜴摦㠸搲摢㘰搱㌵㑦㔶慣愴ㄹㄵ㈹㕤挰ㄷ㜰㝡收㌶户㉣㙣㤶搲㤴戶昱扤换㠲㔷搷慥捣挶挳㝣㜸散〴昰扣摦愱愰㑣㙣捥〰敤搱挵㑢㜷㐸㉡ㅢ㌳ㄱ慦愸ㄹ㔹㌳慤㌶㤰昰晢ㄲ㜵晣㈸㐰㈰㠱㙦〳㠴敡㐲㜸攱戶ㅦ慦收㡦㈷挲㤱㐴㈰攴ㄵ敦㐹摡搸ㅦ㘹扣昴㤷㤴散づ㘰㡣㡥㤳ㄲ愳慣㤴づ㠷㥤㜵㘵㠴㍥㈶㙡搶㡢〷㑢扡㜶捤昳戴挸㜳㠱㑣扦㔸搵㌰攸〱㔹㝡㈳挰捡㝤ㅢ愴㝢㈲ㄶ㌰搳ㄶ㑣捣敥㙥ㅥ㠴㈲㤸〷㠳㜸扣昴㠵㈴捦昸ㅦ㐴㝢搵㡣慣捤晥㜶㤷㜱〸搸摤挱㤶捤挳㘹㜸㥦戲㜱㈸㌸㍤挱㜱戸㝣㝢㘹㐲㉣搷㐲㘸づ㘴ㅥ〳㐰㔴㌱㤸〲㔲ㅤ昸っ㔰㐹㤵㠰戲㔷慢㉢㔰ㄱ昶㈵㌰㡢㡣〴㔴ち㜶㄰㜵ㄹ搴搸㐹戲ㅢ戹ㄴ㤶㤰っ晢っ愰㘸㘴〳㜱ㄸ挶ㄷ㌹㄰户ㅡ㌹㤲㠸攲㔳㕢㔵搱㈴摥㔹ㅥ㑡㐵慢敡敡ㄲ㤱㄰扥㔶攵ぢ挷㤳愱㔰扤捦㤸㤳㔶挵㜷慣晣㜵㜸㌳㍣摥晡㡦慦㝣昸㔳㌱㝣ㄵ㈲㔵㔵㥦㑡挴㘳攱㐴㝤㔵搴摢搵㌶㙦㌶㈰㡤㜹㌸㠸户㑣戳收㤲搵㐸㤶愹㔹㘹㉤搵ㅤ㉣㜶ㄱ㜵㉥慡挰收㐳ㅣㅦ搷㘰㤲㈳㐰㍣摥ㅥ㘰㤰㘷戴㈲敡搲っ㙤㘰㘷㌷㐳㍢㌸戹捤搰搳戶㘲捥㠷㔰扥挲㈵摦攳昲㤶搳㌴づ慦㔷〷㝡改㐰㙦ㅤ攸㠳〰㝤㥡㡤㐵㐸敢㐵晢㘶㌹㐹ㄹ㡢挱敤㔱㙢戹昰㑡㕦㘸㌳㡥捣㉦㠱㜱ㄴ搵愴扢戴㡥㐸㈴㕡昱㝥ㅦ攳㘸戰㕣㙡㜴っ搸搹㌵㍡ㄶ㥣㙥戵搶晢ぢ搹攵扤㝤敤㈲㤵㜱捦扣㤲㘵㍢ㅥ㉡搳㜶㌹昸昷㜸つ敤㈱晣戲搳㤵㘷散㌲㘰㍡扦扦〱扢昲㐹慣戲㌲昶㔲戵㈵㜲㤶㝥㝢㈲〴改㝥扢㌵戸搲㙦㡦㐶ぢ敡㝥㙢戲摦㜲っ㔳㐷㠲㥢摦㐵户㐱㈲㙡㤸愷㠲愲㡢昶戳㑤ㅢ㑢ㄱ户扡㘸㉡㕥ㄷ㠹㠷㔲昸晡㐰㈴ㄵ慡㡢〵敢㐲戱㘰㌲㥥㐸搴〷敡㠳攸㜷〱敦戶扡㌸愷㈱㡤㜷㍢ㅤ㍢㥤戱敤㜵㡣㌲搵ㅦ㌱改㘸敤捥㡥㜶ㄶ㐴收搹㈰ㅥ敦〰㈸攰㠷つ㈷昲搸慤㑣昶㈴敦㐰捤㍦㡦慣〸㌵挲㈰㙡㄰昸㠲挴㠵攰愷㤱搸ㄹ㕣㐱攲㜰㔷㈴收戸㈲戱ぢㄲ挱㐸㤱戹っㄴ㐸散㙡㥢㌶㉥㐵摣㐲愲㉥ㄶて愷㐲攱晡㜸㕤〲㕦㠷㐹㔵㔵挵晤扥㘴㉣㤸㡡㈵㔲㌱㝣㘴愴捥㍢㔸ㄷ攷㌲愴昱敥愶㘳㤷㌳㌶㐴挷㈸㔳㤵㠸〹ㄲ㜵㑥㈴慥㠲挸㕣づ攲昱敥〹〵晣昲㤰昰㘹晥㜵搴攵㍥戸㝣㈸㑣〵挰ㄷ㈴㙥愴㜹戰㤹㔸㠵㐰〵㠹〳㕤㤱搸摦ㄵ㠹㌰ㄲ挱㐸㤱㜹㉢㈸㤰㠸㈰㉥挳搶ち挴㉤㈴㠲愱㜸㔵㔵㈸攵㑦搴〷昱㘱㥡扡㐸㔵㝤㈰改㡢愷㔲〱㜴ぢ㝦㌸ㄹ㌰㙥㑢慢㐶敡攲挹㠰扦㍥改て㈶㈳愱㐴㌰㔰㠵慦昴㈵敡昱攱㠶㜸㍣㥥昰昹㈲摥愸㙤摥㕣㠹㌴收敤㈰摥㉡捤扡㠳慣㍢挹㡡㘹ㄶㄵ㐴㔵敤つ㤶㘰㌸搱㠹攱㍤㤴摦ぢ攲昱づ㠳〲㝥㜹ㄸ敥愳昹慢愹㍢㡡ㅡ㌵㈰愵挳挱捦扤㜲㌹ㅥ挷㜱㌸㜴㜲㈸昲㍡扣㍤攵ㅡ搸㉢㌵㜵㝥扣ㄱ㥦㤴㥣っ㤷愳㜶戲晥〸㡥㉡㈵㤶攳搷㘶㉦晦㔲㠵㠳て攱㔵㌸ㄷ㠳散慢户㕤㌷㜹㤷晡㙦㜳っ昳㤴搶愰挵㍡㤷ぢ扢㜲晥ㅣ挱㘳㍥捣ㄶ挶敡攱〸戴㤹昴晢㐷挰搰㠷ㅡ改挶㉤慤〱户昳㍥㔵戴摡〷㜳㌹晢昳戵㝣㝡㘹㐸㈳摣换㍡昱戰搸愳㈸㡢ㅡ敤㔶〶㌵㔶㜳晦㐲ㅤ㘴㠱㜸㤱ㅡて㉡攷改㌰挷㜹㙡㍣〱㤵挲㜳㡥扤㕣㑦摥㝤㘱㠹㐸㤸㑦㠱攲攴㥤㐰晢㌸扣ㄳ㜵㘰㤲づ散㘷〷捡㈷㈳挰㤹㡢㈱㥡扦㈳昱㑥㠱㘵收㘲晣ㄵ愵㜱戹捣慥〱㍢晢㌲晢㌷㜰㜲㈷づ㔳㙤㉢收㕡〸攵㜳㜷昲攱㍢㌵ㅤ㝣㘹晢㘷挱㘷㐰晥㘶㠲㉢㔸〶ㅣ㔸㘶慥㠳㍥㔷搸昶㐷㈲ㄸ挱挶〱㈸㘰㍢〰㜱ㄹ昳㕥㐴摣ㅥ晤㤳昸攲㕡㕤㈲㥡〸㈶ㄲ昸昶㕣㌰敥慦㡦〷〲挹㐰㉡ㅣて愶攲挱戰昱㔲㕡㌵㠱㘹㥤㉦敥㡦㠷攳昵昸挶㘴搸㔷㤷㐸㔵挵攲挹扡㘴㄰㔷づ㥦㉦攸㍤搰㌶㙦慥㐳ㅡ昳㘵㄰敦㉣捤㝡㠵慣㔷挹㍡㐸戳愸㈰慡敡㄰戰㘴捣摢ㄹ搵㐸㑦搵晥㐱昹㥢㈰ㅥ敦愱㔰挰㉦㙦捣慢搵晣㜷愸㍢㤵ㅡ㔳㠸㔸ㅣ㝣挱昰㝤昰㔹㘳晣㔷愴敡挱ㄵっ户㜳挵戰㥦㉢㠶〹㈴㘲㙡㜳㈳㈸㌰㑣摡愶㡤てㄱ户㌰っ攱ちㅡ挶ㄵ㈳㕥㥦㡡㠶㈲扥扡㜸〰搰㠴愳攱㜸〸㤳㕤㝣晡捣㥢搲挵搹㠴㌴摥搹㍡昶ㄱ㘳㜳㜴㡣㌲㌵ㄷ㌱㐱愲慦ㄳ㠹㑦㈱㌲㍦〳昱㜸ㅢ愱㠰㕦ㅥㄲ㑤㥡晦㈵㜵て愴挶〱慣㜳ぢ昸㠲挴㌷㌴㑦づ晦㡥〰㔷㤰昰戸㈲㔱收㡡㐴㉢ㄲ挱〸ㅥ㜰〳〵ㄲ㙤戶㘹攳〷挴㉤㈴敡㤳昵㜵戸㠹挳愷㘹昱挱扥㔰㉡㔱ㄷ慣挷愷㡣晣昸㥣㉤慥愲晥㐴㤵户㕤ㄷ攷㐷愴昱捥搷戱㥦ㄸ㕢愰㘳㤴愹挵㠸〹ㄲ挵㑥㈴㝥㠱挸攴㐷慢㍣摥㈳愱㠰㕦ㅥㄲ㐷㘹㝥〹搴攴敢㠵昲ㅤ㐳㜵っ昸㠲㐴㔷昰搳㐸ㅣ〷慥㈰昱晤て㤹昹愵挱㙦㜱ㄷㅥ愳扥㠵㙡晥愴昳㜸㔸㐲改昰㜶㙥㈴〶㍣㑢㄰攷攱㍤㐱〷㑥搴㠱㤳散㠰㍡ㄵ〱愹攴搷㌰㤹敥昸㍤㔸昰㥥㈰ㅥ敦㔲㈸㔰搹攴㡣摥攴晣摤攴㉤㠰昷㌴捤敦㑤㕤摣捦攳㌵㌰㈰敡っ昰愵㤲㕢㠰捦〰ㄳ慢戳㐰愵㤲ㅦ㌹㉡㤹ㄹ㍣㍥㜴慤捦搹㐸㈴昵搹〶愶㔰㥦㜳㙣搳㐶㍦挴慤收㑥㈶愲㈹㡣ちㄱ㝦㝤㌴ㄲ㡡㐶㔳㜱ㅦ愶捦㈱㝣㙦㌶ㄲ昷㘳㐶攴昳晥挹㑥㘳㙥㡢㌴摥㜳㜵㙣㍢挶捥搳㌱捡搴㠵㠸〹ㄲ敦㌹㤱搸ㄱ㈲戳㍦㠸挷㝢ㄱㄴ昰换㙢敥㡢㌵㝦㄰㜵㥢愸挱搷搶愹㘵攰ぢㄲ扢搰㍣㌹晣扢っ㕣㐱攲㌵〷ㄲ挶㘰愸ㄴ㙥敥㔷㕣攱戹ㅣ㤶〴㥥㈱㐸っ㜸慥㐰㥣㠷昷㑡ㅤ戸㑡〷㤶摢〱㜵㉤〲㔲挹㜵捥㑡敥挱㠲㔷㠲㜸扣搷㐱㠱捡挶㥥㠸扡㕣㔹㝣㘰㘷㕦㔹晣攰攴㕥㔹慥户慤㤸〱〸攵晢㡥昲愵㐷㜵㈳昸〲㐹ㄸ晣㌴㈴㌷㠳㉢㤰慣㜵㐰㤲改ㅣ㙢㕣㙢㑦ㅦて愹㝤っ愶㔰晢㕢㙤搳挶㔰挴慤捥ㄱ㑦㠶敢㈲昸㈲㜱㈲ㄴ愸ぢ㈵昰㐹捣㘰ㄵ慥㉥戸戲㈴愲昵㤱晡㔸搲扢㐲ㄷ㘷㉦愴昱摥愶㘳㝢㌳戶㔲挷㈸㔳㜷㈲㈶戸晤挵㠹㕢㌵㐴收㜰㄰㡦昷㉥㈸攰㤷搷㌹敥搶晣㔱搴攵㍢攸攴㔳㤳敡ㅥ昰〵㠹戱㌴て㌶ㄳ慢晢㐰〵㠹㔵慥㐸摣敢㡡挴㉡㈴ㄲ㈴㈶挰ㄴ㤰戸ㅦ㜱㕡㌳㈶㈲㙥㈱㤱㡡挷㤲晥㍡㔴摥㥦慣挷㠲㔷戲㉡㔸ㄷ昳㠵敢〳扥扡㄰㍥攸ㄶ昳ㄹ㤳搲慡挱㝡㈸㠶昱摤扦㉡㝣搶搱攷慦慢挲㝤㔹㌸ㅣ挴㡤㔹㌲㤲㡣愷挲挶㝥㘹搵㐴㈲ㄱ慣㡡㈷昰〹㐸摣戴㈴〲昵㜵〸㈵㤲昸㐰㈰扥〵ㅤ慦慢㑦㝡㔷摢㈵㌱㈷㈳㡤㌹㠵㘴㉡㠸昷〱捤㥦㐶搶㜴㤲ㄹ攴㍦愸昹㘹㔵㐹愹ㅥ〱㕦搰扦挹㠹晥㉣愶㍢〸挴攳㝤㔴㈷捣戹扦㝤㑣昳て愵敥〹㐴㝦〹㜱㝥ㅣ晣攱昸昳愸慢㘰㤱戳㘶㐴昰㘸㑣ㅤ慤㘱昶晢〴愲搲㍡㔹戳摦㈷㕤戹㑦㠱㕢㠳㍦㌳㠱挴㙡㡤慢㡥㜸㜱㌰昷ㄴ㜵㄰㠰ㄶ摥戰て㉡慤扤捣搹摡㥣㥤捡捡挲挵慥慤晤㉣ㄲ㐹㙢ㅦづ㔳㘸敤攷㘸ち㠷昷㜹ㅤ㜸㐱〷晥㙥〷捡㕦㐴攰扦㌳ㄱ㝤〹㤶㤹㡢挹㠹愸挹㘹愷挹㤹愶㜷㥤收㌷愳㤴昲㠹㔲昹㔸愹㝡〵㝣〱昶〸ㅢ〸㐶搴㙢攰ち㄰㘷㍢㠱攰㤸㈸㐰㥣改ち挴敢㐸㈴㐰捣户㠰㜸〳㜱ㅥ摥㝦攸挰㥢㍡昰㤶ㅤ㔰敦㈰㈰ㅤ改㜴㤸㑣㕦敤ㄶ戲㡣㡢㐰㍣摥㜷愱㐰㘵㤳挳㥦挹挱捥攴昸收㝤㑦昳㡦㈶敢ㅣ㙡㥣つ愲搶㠳㍦ㅣ㝦搸㘵㠵挵㑣㐷㍡ㅥ㙡散㐸ㅢ㈰㤳晡㉥〱㐳ㅦ敡〳㔷敥㐶㜰愵㈳㥤〰㕤戵挹㔵攷㘳捤㍤㠹㍡㌰㠸㜸㤱晡ㄴ㔴昰㍢捡㠱㥦㜱ち㔴ち㕦㔳ㄶ扢㠲晡ㄹ㉣〹愸㑢㤱ㄸ扤敢㜳摡挷攱晤㐲〷晥愵〳㕦摡㠱昲慦㄰昸敦昴慥慦㘱㤹戹ㄸ愷愱㌴㉥ㄷ愳搳挱捥扥ㄸ㥤〱㑥敥挵攸ㅢ摢㡡㜹㈶㠴昲㔱㔹昹扣慣晡づ㝣㘹㥢㜳挰㑦㘳昹㙦㜰〵换㜹づ㉣㌳ㄷ愳㘶㔷搸㝥㐰㈲㠱敤㝣㤸〲㙣㍦㈲㉥户㌹ㄷ㈰㙥つ挱㜵晥㘴戲㍥ㄸ㑡晡㠲㔸㠰慥慢昳搵㈵ㄳ昵昵㜱㤹扢㜰㠵㍡㘲㕣攸㔰つ愷㜰㝦ㄳ愹ぢ㔴㈵㐳㠹晡ㄸ挶搸㘸㌴㔲㤷挰捡㑥捡ㅦ㑢挴扣㍦搹收捤㡢㤰挶扣ㄸ挴晢戳㘶㕤㐲搶㌲戲攸㡢挱㐲㘴戴ㄴ㥤㉤愴晦㈷㔰㡤㜴晦扦㠲㐹慥〴昱㜸㡢愱㠰㘴㜹㤷戱㉥㥡㝦つ㜵昹攲㍦昹㌶慥ㄲてち挶慥〷㥦ㄸ捡㕦㔷㘸ぢ㠶〷戹㘲㜸愰㉢㠶㘵㐸㠴ㅦ摥㘳っ㔳挰搰㘴〴㠷搷愳〳摤㜴㠰㡥ㄲ㍣㔴㌹〲㔲㥦晤㥤昵戹㤵㘵㕣〱攲昱搲挹挱慤㍥扤㌴晦づ敡㕥ぢ㕢收㌵㌴搸〷㝣改ㄳ㜷㠳㥦慥捦ㄶ攰㑡㝤㈶㍡敢㘳㐲㐵挶愷㝤㕤敢戳㈵ㄲ攱㠷昷愴㐱て昵愱愳〲て㉦㥤ㄵ㈴戰㡤づ昴戳〳㙡㝢〴愴㍥攳㥣昵戹㥦㘵㕣つ攲昱搲攳㐰敡㤳㌳ㅢ摦㔱昳ㅦ愶敥㉤㌰㉦ㅦ收昵昶户㉤㝢改㠴㈰㤹づ搴㠱㥤㜴㘰㄰〲㕣㜸㌳戹〷㘰㜲挹㕦㘶昸收㔱っ㘵昲攱㐲扤㤷㥥〸搴㤵挵昹摢ㄱ㌰晥㠶っ㝦晦挵昹㤰戹㤶ㄵ戹㠳㔹㔹㡢昳扢㈰㘷㘹㤹㘷㈰㘰㠰㌰愸挱攰㑡换〴㥤㉤㤳〰㔷㕡挶敦摡㌲扢㐱㑣つ昳〵㤸㐲换っㄱ㜵搴㡥づち㍣扣㝢攸㐰愵ㅤ㔰㝥〴愴㘵昶㜴戶捣㡢㉣攴㑢㈰ㅥ㙦〰ち㙥㍤㉤愸昹慦㔲㤷㉦捦㤳てっ慢㌰昸㔲㥦㌷挰㑦搷㠷捥〱㔲㥦ち搷晡散攴㕡ㅦ扡〸攰㠷㔷〳挲ㄴ敡ㄳ戳㑤ㅢ晦㐴摣ㅡ㝤戰敤攵て㘱晡ㄶ愸ち挵㐲㔸㔰挶㝥㔸㌸ㄹぢ㈵攲㠱㜸㥤摦ㄷ㡦㝡㠷摡㘹捣㜷㤰挶扢㤷㡥扤换搸摥㍡㐶㤹慡㐶㑣㤰搸摥㠹挴㝡㠸捣つ㈰ㅥ敦㜰㈸戸㈱㐱㔷〱攱㙦愲敥挳㉣昰㐳㈰慡㐶㥢晦㠴收挱㤱㤶攵㑥扦㈰搱挷ㄵ㠹㕥慥㐸㜰扦ㅦ㍦昸昱挱ㄴ㤰ㄸ㙢㥢㌶晥㠵戸㠵㠴扦摥ㄷ挰昶㑡㥤㉦ㄹ㡦㠴昰つ敢慡㜰搲ㅦて搵㐵慢愲㜵㌱摥㐴㝡挷搹㘹捣㉦㤱挶㍢㕥挷扥㘲㙣㕦ㅤ愳㑣㑤㐲㑣㤰攸收㐴攲㕢㠸捣敦㐰㍣摥晤愰攰㠶〴昷晤㠵晦㈳㜵㥦㘴㠱㥦〰昱搲〳〰㍦戸搱㠱摦愳㑢㈹㌷戱昷㉡晣㠹ㄶ挷㕥散㄰㍣戸㥡昵改摤搱昸㤴敥㘲㡥晥㕤昰摥㈱敢㙤㍤㈵挵㐳㝦㥢㉤㉥㘱昳㜱㘵晥㤵㉡搴昵㝦㘱㠷敤㥢㔹㜷愶挵ㅤ昱㘷㜲㡤戴㤴㝢敡慥て挶㕡扢搳搳昱挲愵㘴㘵捤挸㘸愵昳㥢慦㕣㕣摤愲㘹㝣ㅢ㜶愹昱㝤㤳ㄹ㉤㈳攴搱㔸㍡㐱昴搲扢搷㐳昴ㄷ㘱㉢㌲ㅣ晤摣戹㑥㌶戹㌵㥤づ㕦㔸㠵捦〱〴㐳昸晤搸㉤㌲㌱挷摢㡥戶捤㜰昱扡〱㍣㙢㥢㑣㘸㡢㙤㜸㌵㐸㐹㜱ㄷ攵晡㜲挱㔱㉤㑤昸散㔳㈵㍥慤愹つ㡣㙥㥥摦㐴〸戶㜵㜹摢搳挸㠶㜶㜹㕢ㅡ摦㘲愴捣㤹㠰挷㈸㐶㝤㡤㘱㠳㐶てち晡㑡㝦晥昷㉦扦晣㡡㕣戲愱㘷㥥㍣㍣㘶〹㑣㉡㝡㌷搰ㅥ㔹攵〷㈱㠲ㅥ㤸扢㜰慤摦㠲㕡㌴㝣摣扢㐷昶㕤㌹昶戱敡搹㉦㙦㍣㝣挸户㥦㔷㤷ㅦ慣㔳ㅣ愲〶㥣㌷愲昴㥤攳㜲摦㝦扣挲晦㜲挵㝦づ㍡慣㝡㙤ㄷ戵扡攷㥡㔷慢㔵㉤㔲㔴㈰㡦摣捦㘴㝥㡦㐲扣㠱搷㜸攷㝤㈷昴㍢㕢㤰晢㥤㔰㉦扤っ昰㠳㠳㈵㉡搲愳㡢愲㔷〰捦ㅣ昵つ㔲戰扢㑡て敢捥㕡㌶㠰捤㕥愶捣搹愰㐶㑦ぢ捣㜱㠳㐲晥搲㝦㐱㌹昷㤹㕡搹愴戲㥢㡣㙦愴㘲〷挰〷慡挷昳昹㔷㐷㉦愶㝤㥥捥ㅥ搳换㑣づ㑦㘷㌲㠷㤹昴戶㌲ㄹ㍢㈸ㄸ㔳㥦㈲ㄳ㡤戲挷散㑢敤戹搰㘱摥㌲攸搱㤳㐰换换改㈸搰㘱㉢㈰㑢ㅣ㘵挳攵扦㈲敦昰昲㈳㜴㡡㐲慤戰攱㤹㙦户摥㜹挶㘳搵㙦㡥㕥ㅤ㌸愹晦㤹搵㙡㍥㔲戸戵挲㠷㈸㤱㙢㉢㙣戴〵戹ㅦ㉢㔵摣㑣捦㔸捡扣愹昶晤㐲㤶摥戳〵戹㕦㈳昴㥥〸㑢昸挱戳ㄲ昸愰㍤㑦㐵㐴摡昳ㅤ愴㐸户攷〰㠲㜷ㅡ㐴㔶㝢㉥㐵挸搸挹㠲㝡〲㑥づ昵㈶㤴㌵㤴ㅥ戳㠲摡愷㐳㐷戳捡捦㐲愴㐳㜴㔷敤㜰昲挷㔳㔷㕤㔹晤搸摡慢㐷摦晢ㄵ晡昸搹㍡㐵㈱㜴搵搶㔳㡥㜹敥攰扢慢敦㍦昵攳愹挵㥦慤慦㔶攷㈱㐵〶㤳户㔸愷户㐱搴慢㠵㌰㜹挵ㄶ攴㝥㥢搰㝢㈱㉣攱㠷㜷ㅦ㔹㤸㉣㐳㐴㌰㔹攷挴㘴て搶昲㌲㠸㉣㑣㉥㐵挸搸搳挲㘴摣愰㐰㐴扤〰㘵摤搷㍣愶㥦摡㤷㐳㐷戳捡慦㐲愴㐳㑣㔰〲ㅣ㡥ㅥ户㕣愷㈸㠴挹㌵㤱㐱㥦㝤ㅦ㜹愵晡愲ㄱ㘷㥡㥥㘳ㅦ慡㔶搷㈱㠵ㅢ㈶㑦ㄷ挲㘴慤㉤挸晤㕣愱昷㐶㔸挲て慦㌴戲㌰戹ㄵㄱ挱㘴㡤ㄳ㤳ㄸ㙢戹ㄲ㈲ぢㄳ敥戵ㅢ㝢㔹㤸攰㤴っ慡㈷㙣㑣㜸慤昴㤸挳愸捤慤㜰㑢晢㌶㙡㔷㕢摡攳愸晤愸慤㙤㥤敥㈳愸捤扤㜴㡤愰扡搳㡥搰㕡昹㍤㠸晣㍡㌸敦搵㈹ち挱㘹㍤愳昴㔱戵㙦攷㠹摥晥敦㍣㕦慤㔶㈳㠵ㅢ㥣て搸愸攵つ愳慢㙤㐱敥挷てㄵ㜷㝥㌹慥㤹㘳㔱㉢搶㡦㝦摥㐷挰攵愱ㅥ搵㘲捤㘱ㄵ扤摣㙤愵㠶㌹ㅥ㠹㜰慥㜲㜷㔴摡攰㕥㘴㤳㍥㔷㈷㄰愷戵㄰㘵㑡㝡ㄸ戲戲㑥㠶㍢ぢ㤵昴づ㕢㤰晢㘱㈸敦戳㍡搳愹㔶愶㝦搷㤹慥㜴㘶㍡㥤㤹慥㠳挸㙡捡ㄷㄱ㌲㘶㠲㠷慢攷愴㐱挱㠸扡〵捡㙣㌷慢攱て愰昶换㘹㙤敥㌹ㅡ戳㉣敤晤愸㝤㠳慤㙤㌵晣挱搴㝥〵㍡改㠶攷挶愲戶㔶晥て㐴㝥㕤挳扦愹㔳ㄴ㙡㜸戶〱㤶㜳㠶扦㜳攴㙡摦昰㌹㕦㔷慢㜷㤰㈲〳㘷㘶㙣戹ㅡ〵㜵ㅤ戹㤷摢㠲摣捦㑣㜹摦㠷㈵晣㡡捣㌸㙡㘵搶㠱昴㈸㔶ㅢ挱㤱㠶扣〲挹搲つ㤹㘰扤㌷㐱㘴㘱晡㈱㐲㐶ち㍣㘰㡡㐱㌷愲㤶搹㈸㔹㤸捥愱昶㐷搰㐹〳昳㈹㈲扦づ㤸捦㜴㡡㡥㠱搹㝤昸敤㙦㠴㕥㕣㜰㙡慦攱敡㑢愴㜰〳收㠲㐲挰㥣㙦ぢ㜲㍦㍦攵晤〶㤶昰㉢㌲㥢㠹㐹ㄷ昵㙦㐴〴㤳㜳㥤㤸捣㘳㉤㝦㠴挸挲攴〷㠴㡣㔶ぢ㤳㝤〷㠵㝣敡㉣ㅢㄳ慢攷戴㔳晢㈷攸攸㥥㔳晥ぢ㈲扦づㄳ慡㑢㡡㐲㤸っ㍢昴㥦敦㝦㌳散敤㙡㜶㤹愲愲㜷慡㔵〹搴㉢㄰捣㥤㙣㉤㉤㠴挹愹戶㈰昷㡢㔴㕥㙥㕤愲挰㔸㈲戰㌰改㠶戸㘰㜲戲ㄳ㤳愳㈱㉣攷㈶㈲㝥扦㘲ㄶ挹ㅤ㐷㐹㔱愸㘲㕦㝣㤶昸㜹敢搰㘱搵㡢搶晦昲摣㝡捥㈲㝢㐳扤挲愵㘲挷ㄷ慡搸㜱戶㈰昷㑢㔳㕥㙥㔷㑡挵㑥戰㉡戶つ攲㔲戱㘳㥣ㄵ㍢㠹捤挷敤㐲慢戱晢㈱㘴㥣〲ㅥ㑥〰㕣ㅦ㈲㙡㌱㤴㜵换㝡捣愵搴收㔶愳㘶㤵㜳㍢ㄱ扦挲㤸㐰㠶挳㜱㠵敤慦㔳ㄴ挲㘴户㤷㤶㈶㡢㍥摣㔴晤挵挸挷㝦㍣攲捦捦㔵慢㐱㐸㔱〱㈳戹㡤摤㕥〸㤳㌶㕢㤰晢昱㈹㉦㌷㉥〵㤳戳㉤㑣㠶㈰㉥㤸ㅣ攱挴攴㑦㄰㤶㜳ぢㄱ扦挲ㄵ扢晣㠹晥㜷戴捥戹㌳㌳㥤攲㝥愳愴㈸㔴戱㠷ㄷ扦攱摤㍤㜸㜰昵㝥挷ㅣ摢攵㤳ㄵ㙦㔴慢〰搴㉢㕣㉡搶㔸愸㘲㜳㙤㐱敥㐷愵扣摣㝥㤴㡡㕤㘴㔵㉣㠶戸㔴慣挱㔹戱㑢搸㝣摣晥戳ㅡ㝢㈸㐲挶愵攰愱戱挷㜳㡡㤹㠴戲㥥㑦㝡捣换愹捤慤㐳捤㉡攷昶㈰㝥㠵㌱㠱っ㠷愳戱㠷敢ㄴ㠵㌰㔹㝥摦戱攳〶捥㕤㔸晤攷昸㤰㌱㤷ㅤ㝢㕦戵ㅡ㠵ㄴㄵ㌰㤲摢搸㠷ㄵ挲愴搶ㄶ攴㝥㘷捡换㡤㐸挱攴ㅡぢ㤳〹㠸ぢ㈶㠷㌸㌱戹㡥戵攴㜶㥥㠵挹㐴㠴㡣ㅢ㉣㑣㌰㥤昲愹㔹㔹㤸摣㐴敤㈹㘹㙤敥㌲ㅡ户㔸摡㌸㕤〲㙡㈶戴昵戹攱㌱㔷㔰㥢ㅢ㠴㤶㙤㙥㌴ㅡ㉢搳戶〳㙡慡慤㙤㕤㕤敥愰昶㌴攸㘸〳㙡扡ㅤ愱㕣㜱㐳㌱摤ㄲ戳㄰挱敦㔷戴挴㐱㍡㐵愱㤶挰㘳㥦㌸㍥慢㝥攴㉦㉦㕦㝡散㉢㉦㔶慢㐳㤱愲挲愵㈵㈶愲搴慥ㄷ攴〹戶㈰敦㕢㔷摣㠵㤴㤹搸扤愸愲㥥㠹愹㠴收㘶㑤挰戸愱㈸慤戶ち扡戸㐶㜱㔷㔰㕡㙤㉣慣愷慦摢慢㠹ㄵ户攲㉡搲〵捣㑣挰㐶ㄶ㉡攰〸㕢㤰晢扤㈹㉦㌷敦㈴搳㐷慤㑣戹〳㈷㤹㔶㍢㌳晤ぢ㠴攵ぢ㈱挲慦㌰昲㉢㕦慢㕤㌰㜹㠷㔳㌲㑢〹摣㠸㤳ㄴ㠵㤰㍦㝣愷㥢扦㥥㤶㤸㔵㝤挹挵㑢慦ㅦ晣㌸㙥戳戸㈷㔷㤱慥㔸㘶㉡㌴戴㔰挵㘲戶㈰敦㍢㔲挷挳㤲㈰扦〶㘵搷挸㝢㤷戰㌸㌸㤴㙣捣㈱㘰㙡づ㝢㥡昷㈴㠸〵㡤戵ㄶㅡ摣㍡ㄳ㌴挲㑥㌴㥥㠱㔰㥤〹㔱〵つ扣㐹㤲㘹〲㕦愱㤲敥㘹ぢ㜲㍦攲攴攵㥥㤵㘴晡愲㤵改昹㍡搳㍤㥣㤹慥㘳愶摣㈴戲捥㈸敥㐶ㄹ慦㠰㠷ㄱ㙣㕦摥捥っ㠶戲㍥㝤㍣收㙢搴扥㌸慤捤つ㈹攳つ㑢㕢挶扢ち㘸敢㔳捡㘳扥㐹㙤敥㌶㘹〳㙡ㄹ㈲㕡㕥捥㑤㈵晣ち㌷㍣㘴㌸ㅣ㠳摦㤵㍡㐵愱㠶摦㘹扢㑢㝥㈹㥦昱攷敡戹摢摣戵㈶㔱晥㘸戵攲㘶㔴〵㡣攴づ㝥晤㙤搴昲㙥㝥㜶戴〵戹㥦㠴昲㜲晢㑡攰㝣て戵挲㘹挴㍤㈸㘹挳敤㤱㈲㝤ㅡ慤㠷戰晣㔶㠸昰㉢㕣㌱捦慢搷捥ㅢ收戹㌱㜳愵㕢愱㔳ㄴ慡搸㍥㤳扤㠷づ㘹㍦户扡㈵昸㝥㡦㙥慢扦慢㔶摣㤵慡㜰愹搸搶㠵㉡戶㤵㉤挸晤搴㤳昷㙥㔸㤲㡡㝤㘴㔵散㍥挴愵㘲㕢㌸㉢昶〹㉢㜶㍦㐴昸ㄵ慥搸搷㍦慦㕢戴㘹攷㍢慢昷敦戹挷㕤㔷㝣㡥ㄵ㤱搵㍡㐵愱㡡慤㌹㜴挹㤵挹昳愶㔷昷扦收㥡㙥愹扦㙤愸㔶て㈳㐵㠵㑢挵扣㠵㉡㔶㙥ぢ昲㍥攱挴晤愱㡣愵捣㝡㔳户㐲㤶㍣戶㈰昷换㐸摥㘷㘰㐹㈰晡捥㠲㠸扢㐲〲㔱ㄹ㔲愴摢晥摦㠴攸㐵㠸昰㉢っ搱㔱㔸ㄶ㝤昷挸㤳㌲㙤晦㤲㑥㔱〸愲㠵㈳收㈵摦ㅡ㝤㐲昵㜵〳ㅡ㡦㌹㝣ぢ㕣㐷㕥㐵㡡ちㄷ㠸扡ㄴ慡㔸戱㉤挸晤攲㤱昷つ㔸㤲㡡晤㘲㔵散㙤挴愵㘲㐵捥㡡㈹散攷愹㜷㈰戲挶〸敥ㄹㄹ㕤挰挳ㄸ㌱㜶㔰㈰慣㝥晡摥㜹搶㤷㔲晢㕤攸愴㑦昴昵㠸攰户㌹㑣摡㌳㤸㜰㥢㐸㔲ㄴ挲㘴摥㍥㑦て㘹摦昶㠲敡㠷搶つ㥤扦攵愲户慢ㄵ㜷㡣㉡㕣㌰昹づ㘵㜳扤戶㝥㙢ぢ㜲㍦㝥攴晤〴㤶〴㤳㙥愸〸㑥㜴㙥ㄴ〹㈶㕦㈳㐵扡戱㝢戰㤶㕦㐲㘴㘱挲摤㈳愳㕣㘳ㄲっ慢㉦戲㌰改㐵敤慦愰㤳挶㠴㝢㐰昸ㄵ挶挴㕡㕣㍣㌶㜳㉡㝤愷㔳ㄴ挲㘴㡢㕢摦㥡昲改昰ぢ慢户敤搶戴㘷㥦㜱㍦㔴㉢敥ㅤ㔵戸㘰昲㜱㈱㑣㍥戲〵㜹㥦㐲晡て㉣戹敥㈳㜰㠳愹慤㔲㕥㠵捤㠷㌶㤳㙤挲㈸㐷愶愵㈹敥戰㜴㑢㔹㙣㙥㄰挹晢㤶ㅢ攵ㄹ捤敥昸㜲㐹敢摣㘴敢㐴㝣愰〷摦㉢㤹摥搰㘴㍦㕥㠸て昷昰㍤㤴晡摢ㄸ愶挴㤸搸㐸㑤㙥挵挷㌲扡愶挶户攱〱戴㐴㔹搳㤴㜸㝢㝢戲戵昹㡦昰愰〷㥥㥡㉤攱㜵ㅥㄳ〲昹㌸㤲敢〳慢㙢㈱㜶摤㍤戰㈰捣攰愱摦㉡㕢捣て㥥晣戶挷㍣㡣慤搰摦昴〳搵〹挷㈷㝣㑡搴㠷㘸㘲换㉦昸昸㈲搹捡愱〷㠸戹つ㝢㙥㍦㤰㉥搸㜷㤲昹つ㠸挷摣ㄶㅣ㜹㜰㔹〸晡㉢㐶㠹摣捡昱ㄱ㘲扥㈲愶愸㜴㘱㐳愲㝤㡥㌱㈷搹㌰㝢㑥㍢㥥搸敢挶ㅡ敢愳愴〴㐹㍢摡挰攲㔴慡㙢㔳㙤扣戵㌵扥戸慣愹戶㌱搹㍣扢㝤㑥㔹敤〲散搸攱搳㐳㈸㐷㔹㔹㤹戹㍤晥㘷㔶晣㔳摣换㘱扦㌴㜶〰搷扤戲敦扡㔶戶㍦昴㡤〱㈰搹㤵ㅤ〸㡥愳戲㡡摢㐱捥搳㔳㜱敢㠶搵㌰〷㐱㌳㕤っ㙥搱〸户挲挹攵挶㠴ㄴ㙥㘷㜰摤ぢ昷扡㙢攱㜶㠵扥㌱ㄸ㈴扢㜰扢㠱攳㉣ㅣ昷㌶戲ち挷敤ぢ㈹挶敥搰㑣ㄷ㡥㝢〱㔲㡣㍤挰㜵㉦挶㡢慥挵搸㤳昹ㄱ愳㑣㘷昰㤳挵愷搸慤捥愰戸㤵㤰㔵〴敥ㄶ㐸ㄱ㠲搰㑣ㄷ㠱㑢敦㔲㠴㄰戸敥㐵㜸摡戵〸ㄱ收㐷㈴㌲㐵愸㈲换㔱〴慥摣㘷ㄵ㠱㡢昳㔲㠴愱搰㑣ㄷ㠱㡢昰挲摤换挱昵㜲ㄱ㕢挶昹扤㘹㜵ㄸ挹㍥㈰ㅥ挵㠵㙡㈹㜱㌵愲㤹㉦扢㉥攰㥥㙦㕢戱㝡㔴㤷昶攳挰㌶㤹㌳㘸〴搳ㅦ㠶㍢〳挵㙣攵散愹㈱换㔱㕡慥㜱戳戴㌳㤶慤ㅥ晥㜳昰㤰ㄱ㡡㡢搳㤲搱㘸㘸扡㐳戳㕡㘷㔶攴㍣㕤挷搲㜲㌶㌴攳㜳㌲攳摡㜶ㄶ㌴㕣扥ㄶ㄰㈶㐰㌳つつ㤷愹㠵㍢搱挹攵㌲慦ㄴ㙣ㄲ戸扤㐶戴戵捤㙦㥡挷㉦㠰昵搷ㄸ摣愵㡢㤵㠵挱㘴㘸ㅢ㔳㐰愴敦愶㜱㤸ち㡥ㄳ㠷㍡㙤㝤㍡〴敥搵㕥愱敤㘷㔵㝢㈶つ㔹搵收㉤ㄸ㐷愸〳㜲㙣㈷㘰㍢ぢ㘳慥㌰㑢〵㘷㐱㌳㕤㙤㉥搷㑡〵て㉡㔸㠴敢㕤㡢昰㍦捣㉦晢扣㌸㌴愷〸㕣敤捤㐲㥥ぢ扡㔲㠴挳㥣㐵攰敡愸ㄴ㈱㕥戰〸㔷扡ㄶ愱ㅥ晡㐶〲㈴㝢㠴㐸㠲攳㐴㤹ぢ慣㔹挵㌸㐱㘷㌸扢㘰㠶㤷戸㘶搸㐰换搹㜵㥥㥢㤳搹㐹戹㤹㜱㕤㔳敡摣〴捤㌴散㕣㈴㤴㍡㜳㐰㜷㙦昹㜳㕤㡢㌰て晡挶ㄱ㈰搹㜵㙥〵挷㔹㘷慥㌳㘶搵㤹㡢㜷㤲㈱摦㘴敤㥥攱ㄹ慥ㄹ㉥愰攵散㍡㉦捡挹㡣㙢㝦㔹㤹㜱㜹㑦敡㝣㈴㌴搳㜵扥㐶ㄷ攱愸㠲㐵㌸挹戵〸挷㌰扦散㤳晣戸㥣㈲㕣㤷㕢〴慥愶㐹ㄱ㤶㌸㡢挰㔵㌳攱㥥攰攴㜲㜵㑣戸㈷㍡戸㕥㉥㈸挹愸㜸ㄲ昳㍡㤹攴ㄴ㄰㡦攲敡ㄱ愱㌴㌹㉡ㄶ慢㐵扡捣㔹㈳挰㘹搴捦ㅥ〵捦㈰换㌱ち㜲愱㠹戰愵㐷挱㐷㙤挳挶㔹搰㜴㙦愳㔶㥤㔹搶㜰㜰づ㉤戳㔳㘰㈴㄰攲㌱捦捤挹散㉦㜶㘶㤴昳昰㜲搵㐶慡㜷㍥㌵㉦㈰戹㄰挴愳戸㌲攳愸㕥㠳捥㌱慢㝡㤷㔰㍦扢㝡㤷㤲攵愸ㅥㄷ㜱戲慡挷搵ㄷ改㠲㤷㐳搳扤㝡昵㍡戳慣敡㕤㐹换搹㕤㜰㜹㑥㘶㕣扣挹敡㠲㕣㥦㤱㌶扤〶㥡改㉥挸㜵ㄸ攱㕥敢攴扥愷ぢ㜶ㅤ戸敥〵㍢搸戵㘰㌷戰ㄴ搹ㅤ昳㈶戲ㅣ㈸慣捦㉤ㄸ搷ㄶ〴㠵㕢ち㘶㌶搳㌵戳ㄵ戴捣搱㉥搳挸㉢㜳㌲攳搲㐴ㄶち扣㑢㤷捣敥㈸㤸搹㘴搷捣敥愲攵㙣挸晦㥣㤳ㄹ㙦昲戳㌲攳㥤戳㘴㜶㙦挱捣挶扢㘶戶㉡㍦戳搵㌹㤹㈹挴戳㌲㉢〵㐳㕡昲㐱〴搲敤换ㅢ㔵㈹挲㐳〸戸户攴㐸搷㈲㍣〲晤㥣晡㍥㐶㤶愳㈵㝢㈰㥥㔵㠴㕥㘰㐸ㄱㅥ㐷㐰ㄷ愱㤴㌷㄰㥤扥扢攱改晡ㅢ㥦敦㝥〲昹㈸摥㤶搰㠶昹愴ㅤ㘰愴㥣㌷〷っ㤴昱㔶㐲㜱㤲捦㐲㤹㑦㤱捤戹扤愴昸慢ㅤ㤰ㄴ㠳散㠸愴㈸慦㜰挶ㄴ攷攱㤲㝥つ搹㥣㝥㑢晡扦搹〱㐹捦愹㌶〳㔶㡥㥣㌲㑢㡡戵㘴晢㙤㤹昹戴ㅤ㤰ㄴ㥣ㄹ㘷㔲㜰㠶㉢㈹㥥㈱㥢㤳㕢捡捣㘷敤㠰愴ㄸ㙡㐷慣㌲㜲〲㥢㐹捦㠹慢慣㑣〴搰扡㕣㤹搸㥢㠵㈹㌶ㄴ㈷戳㈲昰摢㠲㘱㈲㔰㡡ㄳ㕣ㄱ昸㙣〱㌷㠰捤扦搳敡〸㄰㈹捣㡢㡣搵㤰㔰昶㤲ㅤ㘰㐴㜱摥㈹㍡敢挸ㅤ慦㜵㕥㜶攸㤴㑦戰㈳㔶㠱㌹慤捣ㄴ㤸ㄳ㐴㐹晦ち搹㔳㙤㤹昹慡ㅤ㤰㍣㌸挹ㄳ㥤搷挸攵晣㑥捡昱扡㐳愷㝣㤶ㅤ戱㠰攷㥣㑣㔲扣㐱㌶愷㘳㤲攲ㅦ㜶㠰㤱㜲㑥扤ㄸ戰㔲搴㈳㈶㈹摥㈴㍢㘹换捣户散〰ㄵ㔵㠳搶㜹㥢摣戹㕡攷㥦づ㥤㜲㑥㙥㌲㔶㌹㐹ㄱ慢敦㤰捤戹〹㘵收扢㜶㐰慣㜲㕥㈱㍡敦㤱扢㐸敢扣敦搰㈹㍦搲㡥㔸㘵㍤〶㌱㐹戱㥥㙣捥〰挴敡〶㍢挰㐸昹ㄲ㍢㘲㘱捥慢㍣搹㔶散㐴㘷㑣㥤㠴㤸㜴㠰㝥㌹㕤收㘴㉤搸㈶愷换昰敡㉦㈹戶㜶㜶㤹㑤戴㝡ㅡ㠸ㄴ敤㈳挶捥㈰㘱㠵㍦戶〳㡣㈸㕥愴㐵攷ㄳ㜲捦搵㍡㥦㍡㜵㜸㉤㤶㉣㝡攷ㄴ㡡搷㘷ㄱ昴捡㈹ㄴ慦搹㈲昰㍡ぢ昵㉦ㅡ扤〴㐴㌲晣㤲戱㑢㐹㔸愸慦散㠰ㄴ㡡㤷㔶搱昹㥡㕣㕥㔵㐵攷ㅢ㠷㑥㌹慦愰攴㕡㈸㕥敢㡣㈹㕥〱㈵晤户㘴昳攲㈷改扦戳〳㤲挷ち慤昳㍤戹扣㘶㠹捥扦㥤㍡扣摥㠸㥤ㅦ挸攵愵㐶㜴㝥㜴敡慣搲㍡㍦㤱扢㕡敢晣散搰㈹㝦搰㡥㔸㍤㠶愳扡㔸晤て搹ㅣ搰挵敡㉦㜶㠰㤱昲挷敤㠸㤵㐲㐶㔵愲㔴㔴〶㙡ㅦ摥㈷愱㈳㜳㈵〵㉥ㄶ㐲㘵㈴㠵搰㉣㜶㙡㜱㐴ㄵ慤㉥㤶㤶㡣㤷㜹㕡㝦搳㕡愵㤶㤶㡣㤱㜹㕡㑦㙢慤慥㤶㤶㡣㡢㜹㕡ㅣㅦ㈵㐷㔳戴捡㌹㝣昱㍤〲挵㡢㔴晤㘱㠹挳づ晢扥扣愴㝦扦㤲〳㠷㜷㕦昶捥摡昷捥㕢昷㍦挳㌶晥㜴昹攵敢搶㥦昷捣㑦て搶つ晢敢㌵搷㍣戱敦㔵捦扣搷㍢戵扣昸摥敦㈷㉥㍦摡㍦昷攸㈳㔲㌳㜷ㅢ㝢昴慣挳愷晡愷昴ㅡ搲愵㑢搷慥扢昴㔹戳昵慥摥攳㡦㔸愵ㅥ㝢㝤慢㘶㈵㈳㈲㡢愱昷㔵ㄱ㉥昲㜲㘴㤴㘲㜴戳ち㉢㘳㈲戵扡㈳慥て㉦挷㐶搱敡㘱㘹挹挸㐷慤㥥㑥㉤㡥㠰愲㔵㙥㘹扤㠶戸㌴㥡搷愹昵扡搶敡㘵㘹扤愱戵戲㜲攴戸㈷戶晡㔸㕡㌲挶㌱挷扥㑥㕢ㅣ敢㐴㙢ぢ㑢㑢㐶㌹㙡㘵㌵㉥㐷㍢搱摡捡搲㤲㤱㡤㕡㕢㍢㙤㜱㠴ㄳ慤㙤㉣㉤ㄹ摢愸搵捦愹昵扥搶摡搶搲㤲昱㉣㉦㐷㡥㙢㘲㙢㝢搱㉡攷㐰昳㕦㙤㕣ㄹ扢㔸㡣慣挶攵ㄸ㈶挵搸搱㉡慣㡣㕥㜹ㄵ攷㈸㈶㕡〳慣挲㜲〰晡慦ㄶ㔶挶㌴ㄶ㘳〹敥挴昴攱攵搸㈶挵搸挹㉡慣㡣㙡搴捡㙡㑢㡥㙥愲㔵㘱㘹挹搸㐵慤㥤ㄱ搷㠷㤷㘳㤸㘸敤㘲㘹挹攸㐵慤㉣㕢ㅣ挵㐴㙢戰愵㈵攳㔷㥥ㄶ挷㌱搱ㅡ㘲㘹挹〸㤶愷挵㤱㑣戴昶戰戴㘴搴捡搳攲攸㈵㕡㝢㡡㤶㔷㡦㔴㡡㠳㤳㕣ち㕥昸捥㥡〴㡤㐴㕡㍣㄰收搵〵㔶ㅣ㤸㐴攳昹㙣つ挵戱㐸〴捦攵〸㌸晣㠸攰搹ㅣ〱㐷ㅣㄱ㍣㤳㈳攰ㄸ㈰㠲愷戳〵㕥㝤㙡㉡㥥晦愲戱㌶㐷㐳て〴㡡攷扥㘸晣㉤㐷㐳て〲㡡攷扤㘸慣挹搶㔰㍣搵㐵昰搷㙣㠱㔷㥦昳㡡愷戹㘸㍣㤵慤愱㜸㘶㡢攰挹㙣㠱㔷㥦攲㡡㘷戵㘸㍣㤱愳愱㑦㙦挵㌳㕡㌴ㅥ捦搶㔰㍣㠹㐵昰㤷ㅣ〱㑦㉢ㄱ㍣㤶㈳攰㤹㈴㠲㐷㜳〴散摢㈲㜸㈴㐷挰敥㉣㠲㠷戳〵㕥摤慦ㄵ扢戲㘸㍣㤴慤愱搸㝢㐵昰㘰㡥㠰ㅤ㔶〴て攴〸搸㐷㐵戰㍡㐷挰㙥㈹㠲晢戳〵摤晥て搰愲㔷捤</t>
    <phoneticPr fontId="4" type="noConversion"/>
  </si>
  <si>
    <t>CB_Block_7.0.0.0:1</t>
    <phoneticPr fontId="4" type="noConversion"/>
  </si>
  <si>
    <t>㜸〱敤扤〹㝣ㄴ㐵ㄶ㍦㍥ㄵ㤲㈱㍤ㅣㄹ〴㉦㔴〴〴〵挱㌰㔷㌲ㄹㄴ〳㠴晢扥扤つ㤳㘴〶㈲㌹㌰ㄹ㉥挵ㄳ〴ㄵㄱ㡦挵㙢ㄱ㐴扣㙦㔱ㄱㄵ㜵㔵㍣㔶㕤㕤慦㕤慦昵づ㠷扢摥昷晤晦㝥㕦㜷㑤㝡㘶㝡㐲㜴摤晦捦摦攷昳㙢㈶㡦慡㔷慦㕥搵晢㔶㜵㜵㜵搵敢㙥㤷㜲戹㕣扦攰攰晦㍣㜲ㄹ搸㜷敡愲挶㐴慣戶戰慣扥愶㈶㔶㤹愸慥慦㙢㉣ㅣ搲搰㄰㕤㌴慥扡㌱搱〶〲敥昲㙡愴㌷收㤵㌷㔶㥦ㄴ换㉦㥦ㅦ㙢㘸㠴㔰㥥换㤵㥦㙦攴㈰㝤㙦敢捦慢㈳〶㜳ㄹ戹㈴㤰㜲ㄹ㙥㤲戶㈴昹㈴〶㠹㠷愴ㅤ㐹㝢㤲づ㈴ㅤ㐹ち㐸扣㈴㥤㐸㜶㈳改㑣搲㠵㘴㜷㤲㍤㐸昶㈴搹㡢㠴攵ㅢ㕤㐹昶〱㘹扦㉦挸戴戲愱ㄳ㉢㑥㠰㌵㔳ㄳ昵つ戱晥摤㘷㤸㜵ㅥ攴昷ㄷ晡ぢ〳挱㠸扦搰搷扦㝢搹扣㥡挴扣㠶搸愰扡搸扣㐴㐳戴愶㝦昷㐹昳㉡㙡慡㉢挷挶ㄶ㑤慢㥦ㄳ慢ㅢㄴ慢昰〵㉢愲愱ㄲ㝦愸愸㈸ㅥ㠹㤴戴摦て㥡㈷㤴つ㥤搴㄰㡢㌷晥㕥㍡扢㔱攷挴戲愱㠵ㄳ㘲㠹摦㑢攷晥搰〹㤵挳敡㙢愳搵㜵扦㤳搲㍣戶㘹搱戰㔸㘵㌵ㅢ㍦ㄶ㙢愸慥㥢㔵㠸㙡愷〰㡤㔸戸㜰㐸㘳攳扣摡戹散㐷㘵戱㥡㥡㈹戱戸㌴㝡敤戰挶挴愴㘸㐳㙤㘳晢㕡攲ㄷ㙢㠸搵㔵挶ㅡ㍢搶づ㕦㔸ㄹ慢戱〴ㅢ昳㙢㘷㐴ㅢ㈶㐴㙢㘳戹っㄴ搴㥡㙤㌸扡㉡㔶㤷愸㑥㉣敡㔰㍢扤㌱㌶㈵㕡㌷㉢㐶㤱扣摡㤱昳慡慢㔴㙥㉥㝥慥㌶〷㌹搵㑣ㅡち昵愹㉤㥢ㅤ㙤㐸㐸㡣㑤攸㜷㤲戵㜵ㄷ戱㈲愵㕥散㔲摤搳㜲戱捤愶㔶搷㡥㡤㌵搴挵㙡㔸〸㕢戲㕦㥡㤰〰㘴戶㐳ㄲ㈹㙤づ㕢㐹戵戳㑥㍥摡挲㔲摣摤㐱づ㥢㔰摦㔰㡢づ㌹㍥ㄶ慤ㅢ攴㉢昴ㄵ〵㑡㡡㑢〲㤱㘰㌰ㄸ昲〷㐳扥㤲愲晥㔳ㄳ㔵挳㘲昳㤹收てㄷㄵㄷ〷㡢挳晥㐸搸㕦ㄲ㠹㠴晣㐶て㘸㌰㝡㔲搷〱㈰敤㥢慥戹㘴攷㤲ㅢ㜶摥㜴摥戶㍦㙤㌲㝡㌱慤㌷㠸捡㝤ㅤ攳㠰扤㜴㥥㡢㌹攵搱㥣昲㡡㥣昲捡㥣昲慡㥣昲㔸㑥㜹㍣愷㝣㔶㑥昹散㥣昲敡㥣昲ㄳ㜲捡攷㐰㐶ㅦ昹㙤摢收㔸挷㔷愷敥㐸㥣昸散㤵愳㉥㤹㍥昳ㅣ昷昶晢愱ㅣ㐲㌲㜲ㅣ㠴㐰挴戲㈶搴㥢昵昵昹晤㐱㕦㌸㄰㈸づ㠵㡢晣㐱㝦愰愸戸㝦㈴㔲ㄸ㘶㥡㍦攰㉦㉥ちㄵ㠷挳扥㜰㈸攲ぢ〶㡢㡣㍥挸㙥昴〵㜱ㅦっ搲扥㘹搹㔹捤愶昴㘳㕡㝦㄰愵㕥㠲㈹㌴愷昳㥥㉢搷㤷戹㑦ㄸ戳愴㕢晢摢摢慤㝤戸㡦攲攸㈳昵㈸㐴㐰愳敡㉢っ〷捤慡昸㠸愶㉦ㄲ㉣〲挲愱㤲ㄲ愹㐹㐹ㄱ搳㡡㝣㈵㠱愰㍦ㅣ㉡㈹づㄵ㠱昸㡢㡣〱㉣捥〷攲昶㌳戴㙤捤㑤㍢敥戹㘳摢扡㙢㡤〰愳㐱㄰愵㥥戵敡戱昹㤵挹ㅤ㝣㐳慢㈷摥㍤㝤挳昸㜹搷㉣扡㕢㜱〰㤴㝡ㄴ㈱㌰搰挲挳㙦㔶愲挸ㄷ㉣ち㠵㑢㐲㘱㕦㜱㈰㄰っ㠶㡢㠸㐷㐴搲㡡㑢挲㈵㈵攱㐸㐹㐹戰〸㈹扥㜰㤱㔱捣挲挲㈰敥ㄲ㤰摤捣㔶摤扥攵晥㥤㤷摦摢㜴晢戲愶晢慦㌳㈲㤴ㄸ〸愲搴攳㔶㜵㥥㕢㍢㜵昷つ愵〷て扤㘶㠹晢攰㜹昷敥搹㑥㜱㈸㤶敡ㅣ㠶挰愱扡㍡挱㐲㌱ㅤ㉤ㄴ〹㠷㈳挵㘸㠵㐸㌰㔲散㉦づ戲㐲㈵㈵慣㔱㌰㡣㘸㜱㔱㐹㌰㔴㡣㥥㔶㕣㘲っ㘲㘹㠷㠳戸㑢㐱摡づㅡㅥ昴つっっ㌴〶㤳㍤〴㐴愹㠷慣㑡㝣昷搲㡥㠳㤶㤷ㅤ㌷晣㑦㠷昵㝥㝣㑡挳扡晤ㄵ㐷〵愹㐴ㄹ〲扡㙤㡡ち〳㈶㉡扥ㄲㅣ攸ㅣ㠱愰慦㈴攴て㐴搰攷㜵㌷㐱㔳ㄵ㠷〲晥㔰㠹捦ㄷ㉣㐶ㄳ〶㡣㘱㉣㙥㌸㠸㝢〴㠸㙦摢㔵㥢㥢ㅥ㕥戲敤㠶昵㑤㔷㕥扡攳戶㠷㜶摣戶扥㝢㥦愶㔵㌷敤扣攸散愶摢敦㌳ㄳ㥢捥㕤户㘳挹㠳㘶㘲㕦㘳㈴昳㡦〲㔱敡㕥慢扡搵㕢て㔹㤶㜸昸㙦㘳捦㕣晦挵昱捦慢㝦㑦捤攳㐵㉢攸㜴㜶愷てㅣ㈳㜰挱愹㡣㌶㈶慣㌱㡤㔸晦扥㐳摥慥㐷扣ㄱつ㤵晦晢ㄱて㠵晣㉥㈳㥥㌱㠶攸㡦〵㜱㡦㈳㔶㍢捦戸㜴晢敡换捤㍥㙤㡣㘷摡〴㄰愵敥戴㕡收敤㜱晦㌹㜷敡㐷敢㈶㙣ㅥ戰㜸扦㈳挷慦㝣㐳㜱㈶㈱ㅤ㘹ㄲ〲挹摥㙣㥤㕤ㄸㄷ㐳攱㠸慦搸敦挷攸攸㉢㈹づ摢㍢㜳〸㘷㜸〰摤扣愸愴愸㌸㕣ㄴ㌲㈶戳戴㈹㈰敥愹㈰扥㥤㤷㙤摡㜶摢㍤㑤㉢㔷㝦昰攰捡ㅤ搷㉦㐵㠷摡㝥挵搲㥤换㔷㌶慤扡慡改摥㙢户慤㔹昷挹㤶戳㥢㉥戸昰㠳捤㉢㍥搹㜲捥挰攰㐰㘳ㅡ昳㑦〷㔱敡㈶慢戶〷昴㜸㜳㕢㐹愴㑢搹摤户捤㕤昲慦搸㐹㥢㔵㍢㈴㑢㙤㡦㐰㐰て〵㐱敢㠴昷昹搰户㌱㥣晢㈲愱愲㘲っ㍢晥㤰㜹昲昱㥣〸㐵㐲㠱戰扦㈸㡣搹ぢ敡㕡㙣ㅣ挹挲㡥〲㜱ㅦつ搲㝥攷㥡搳户摤㜹㈶慢㜹搵ㄶ攳ㄸ愶ㅤぢ愲搴〶慢㈲㜷㠵扢㥦昲㕣搱ぢ㘳㉥㌸㘷㙢晦㉥㔳捥㙥愳㌸敤㤲㡡ㅣ㡦㐰㜳㐵捣㌱挰㡦㘱ㅡ㤷ㄶ晣㘱昴昱㠵㠳ㄱ㠱捤㑣ぢ晢㐲ㄱ㝦㌰散昳ㄵ㘳㝣っ㤴ㄸ攵㉣㙣㈶㠸㍢ち㤲㍢㘸㙣㌰㘲㔴㤰㔷〹愲搴ㅡ慢〲㙢摥扥昵晤㥤㕢ㄳ㘳㤷㥦扤敥扡㌷㐷扤㌷㐴㜱捡㈷ㄵ㠸㈱㌰挸ㅡ㠵㤲㠳㔰㌰㔰㔲ㄴ㉥挲昸攷㉢昱㠵㌰昸㤵搸㙡㄰ち〷挳挵挱㔰挸ㅦ〹愲晤㠲愱愰ㄱ㘷㜹戳㐰摣戳㐱㜶戳昷㈱㙢㕣慣愶挴〹㈰㑡慤戶㙡搴㜰攱㠰捦晢㙣慣ㅥ㝤换㐷攳摣搷晡㥦扣㐸㜱晥㈹㌵慡㐱㈰搹㤳ち㡢慤㈱〹㈳㕦㌰攰ぢ攰ち㠵〹㈱〶挹〰慢㘴昶戳攲愲㈲㌴㕣㈸ㄲ挱㘸ㅤ㉣ちㅡ戵㉣慤づ挴㕤て㜲挸慦敡㐹挶㕣㘶㍥ㄱ㐴愹昳慤慡㥥㍣敥戲㔵㍦扣㕡㍤晣㥥㥣捦㥢㙥摣昱挵㔳㡡戳㘴愹㙡㈳〲〷㔹攰挹㝣㈱愴㈷〷㤸攸〶㜰㈱㉤㐲户攷㜸㡤㡥㘳㈴愸㜹ㅥ㠸㝢㍥㐸敥愰昱戸挶㉥㈰㙦㈱㠸㔲换慤搲㕥㡡㝦㔲扤晤㐱㘳挲㤵〷昴戸㝥摤扥㕢㔷㉢㑥挷愵戴㤳㄰搸〵㌰〱㑣㔲戲〳㜳㌲㑢㕢っ攲㍥〵㈴㜷搰昰㐰㤱㜱㉡㜹愷㠱㈸㜵扡㔵㠳攵戳㘶㉥摦㙢敢昵㘵攷扣昱摥㐵㡤㥢ㄳ换ㄴ敦〵愴〶㘷㈰愰慦ㄶㄱ㝤挵昲昹㡢㡢㑢㑡㈲㈵ㄱ㕣㐴㈳挱攲㠸㔴㐰慥㔸扥㈲戴ㄵ扡ぢ㈶㑥ㄱ㥣㔲㠱㔰㤱㜱㈶㡢㕢〲攲㕥ち昲㉢捦昲搰㐰攳㉣收㕦〶愲搴㈲慢扡昷摤戳㘷摦昹㌷㡦ㅤ戶㜴搹敡て㕦ㅤ扦㙦愳攲㕤㡢㔴昷㙣〴㜴摦㉥㈹搴昳㡥㐰㤸㔵つ〴挳㈵㐵㌸扦搰换愵㜳㥢㤷搸〸㉥㙥㤸ㄲ愰改挲㐵愸戳摦㌸㠷攵㥤ぢ攲㕥〱㜲㘰搳㔹㌷㔸ㄷ戵敥㝤戶慤摤戴㙤敤㔲㌳摡㙦晢㕤て㙣㝦㘰㥤扥愶㥤挷㕣㉢㐱㤴㙡戰㙡㔹戳晦㠸㌳㝥ㅣ㜰捣攰㌳て晣戴昴攷㕥㡢㔵ㅥ㙦慢㕡㌵ㄹ挶㜵て昳㜱摢㜴扥㈳愷攲㘵昳ㅡㄳ昵戵㥣㡢晦扥ㄷ㌸㤷㜵㠵㔳扤㥤慥户收愴摥慣搱㝦㌹愵㍦㈰㑤㍦愷昴ㄳ攷㈶慣㈹扤㔹挴敦㜲㡤㔳挶㉡㌶挷〵㈰敥ぢ㐱㍡晡㐲摢敥㔹戱攳昶搵收挰㘰㕣挴搴㡢㐱㤴慡戱ㅡ换昷昶攸㥢ち敡㙦ㄸ戹㈵㝦晣㠳愵㈷㍥㍥㔹昱昶㔷扡搴㙡〴㜴㤷挲愴㔹㑦摡㜰攵㠸㘰戸挶攵㉥㠸㕢〵扦㙤搶㠶攱ㄳ扣㔰㈸㠸搳〴㐳户摦㙦㕣挲昲㉥〵㜱㕦〶搲戹改晣㜵㑤㙢㔷昴㑢戹㠴㕣㑥㤱㉢㐰㤴㡡㔹㔵ㅡ㌳㌱㘷敥㤲㡤ㅤ㠷摤㜰㜲户㘵ㅦ慤㜸㝥て戵㍢㤲愵㑡㙢㄰搰㔵㑡㡥攰㝥㡥摤㤱㘰〰搷㡢㜰挸ㄷ昰㥢㤷㕥戳扡㈱捣㉦㜱㔶㐶〲㐵ㄸ㉤挲愸戳㜱㈵换㕢ぢ攲㕥〷挲愱㈹㘲㕣㐵摥㝡㄰愵㡥户敡昰昰㠲搸昷㌳㍣ㄳ〶㙦晡㙥挳搷㡢㕦㜹敦㈱㈵㙢〱㤴摢㐰㜲つ㠸晢㕡ㄲ昳ち㙤㕣㐷敥昵㈰㑡ㅤ㘹愹㌸㜷摦戶户㡣慦晦㝡摣摤㌷㍣㜲搸收㠵搷扥慥昶㐴戲㤸㜱㈳〲摡㡣㙣㘳㑢㌰㘸㥥慣㜲㑤挸ㅣ㕣㙥㘲㜹㌷㠳戸㙦〱挱昸〶㌳㙥㈵敦㌶㄰愵㈶㕢㜵ㄸ扥晦㑢敦晥昳慡㜷㐶㥣㝥晣㤶㐱愳ㅥ扢敤㜱戵ㄷ㤲愵づ㜷㈰昰㕦㡤戰㜷戲戴㡤㈰敥扢㐰㌰㈵てㄴ㜱㑡㝥㌷搹昷㠰㈸㌵挶慡挴攱㌷慥㜸晣扢摣㥡㈱㔷㉦扤㝦搳ぢ㑢昷㝥㐷㜱㈱㠵㘳㠲㌲敥愵昴㘶㄰昷㝤㈰ㅤ㝤挱愶㉤愷㌷慤扡搰敡慥昷㌳昵〱㄰愵㠶㔹扡昶搸昳挰慥攵〳摦㥥㜸敤㔳㜳㜶㉢愹㉡晣户敡㡡㘴㔳搷㠳㤴㝥〸挴晤㌰㐸㐷㕦挰ㅣ愲㉣㕤㝦㘱敡㈳㈰㑡ㅤ㙥改㝡晢搵〱敢昲㐶〷㐶㕣㜹摣㡥戰㙦昶挶㝤ㄴ㤷㜵〴㥣挷㄰㐸㠲攳㌴挳昳敢戱摦扡㕤㐹㤹攱〵挳挶㔶㤶昶㌸㠸晢〹㄰㌶㑦㤱昱㈴㜹㑦㠱㈸ㄵ戶㙡昰换㜱㤷扤昷搷㝢户っ扦㌲戴攵㠵改㤷㙦㘹㘸晦㌴㤲㈷㕢户敡挳ㅡ愲ぢ戰昸搱扣慥ㄲ㈸挴㝤㙤㙢ㄶ㤴戰㥥ㄴ㉦㡡㠷攳㝥㝦㔵㤱㉦ㅡ㡣收昵㠰摡搶慥㕣昰ㅡ摣㍥㝥㐴㜵㕤㔵晤〲ㄹ昷昶ㅤㅡ挵ㄸ㥣㕣搹攸㘷愵つ慤㥦㔷㔷搵戸㡦㜳攲搴㐴㌴ㄱ敢㥡㥥搶慣㈴㈳摢㔴㉣昴挴ㅡ愵扣㙥改搹㘶㐴㙢收挵㠶㉣慣㌶㤳昷㑢㑢挶㌲㑦㝤㐵昶搴ㄱつ戱ㄳ㤳愹ㄹ㌵ㅡ㠲㜵挸昹愲㍢挳㑡㌳挹慣㔷昷戲搹昵㡤戱㍡愹㕥扦摡㐹搵㤵㜳㘲つ㔳㘳㕣挵㡣㔵㠹愹扢㌳挹㕡㙢敡㌷戱づ㠶㘲昵愸慡愷㥤ㅢㅦ扥㌰ㄱ慢慢㡡㔵愱扥㜳㘳つ㠹㐵搳愲ㄵ㌵戱㍤㔲㐴捣㌲㤱戰㜷ち㝢㐴㝤攵扣挶戲晡扡㐴㐳㝤㑤㙡捡㤰慡昹㔱慣㙦㔵㡤慦慦㡡㘱㜹㉡㤷㠷㑢戹摡戴㔱捡㜵㜰摡㔵㐷搶㠸愸户戱㔰ㅡ挲搶挴晢愱捤昷㑡敤㜶㠵㔳㘰ㅤ慣愸㠹戱㑦收昴摡㠵㌲搱㑢㌵㝤戳ぢ摡㙣攲㤲㉦愵晢㘴㤷㤶㍡㈶㕢敥㝦㉢㥣㤳搳搹戲㝥昸㝣慣〱㡥㡡搶㔵搵挴ㅡ㕡㕣戰㔶慣㤱昱っ㐸㕥〸㘷㜳㔶昴㜲㈱愱ㄶ慡㐵㜹ぢ慡慢ㄲ戳摤戳㘳搵戳㘶㜳㝡㡣㐵敤晣㝣㐲㥢㜱ㄸ㝦〳换㜸㡥攴㜹㄰㡦挷攵晥㍢㠵摣ㅥ攳〵㌳㥥挷㔵户㔶㑤愸㔲㔶ㄷ㜳㤰换㤰搵㑣㉣㍤㌷收搵㘲〵愱戱㑤ㅢ㈷㉢㐷㐵ㅢ㘷㈷搸㍤㕢㑥愴扥ㄷ㐹㕥〲挹敢〵戲换挵㑢摥㑦攴㜲㡤戶㐳敤戰㔸㍣㡡㤵㜱㌹扢㔵㌴㑦㈶㜸㜹攰㌶㔶ㅡ㕣㤵ㅤ㡤㜳㘵愱ㅢ㈱㥣晣敤㙢搹晢㘳ぢㄳ挳愲㠹㘸摢㕡慣敦愲㤵っ〸昵㤳㕣㘶㠸㌹㍢〸㑦攷昶㔸㌱㘸昰㑡搰愶愵㥤㌰㑣㑤㌸㜱㜰扥戸摡㔸戴㘵㈳㔰㜷捥搵摣改ㅤ㍤㜵㥤ㄶ换挷㔵㈳㘳㜵搳ㄶ捤㡤㌵㔲㍣摦摤㈲㤴改愷㤷捣㄰㉢㉢愶㈷慡㙢ㅡぢ㔱搳㤱つ昵昳收晥㥥㝡愸换㜸ㄹ㐴ㅦ㜹晤搰㡢㕢㙦ㄳ攰㜲戵㥤捦戶㈹㉦㜷攵㔳ㅢ㌹挶〱㈴散慤㔰昶ぢ晥㤳挳㜸ㄵ晦㜹㕡㑡换敢つ㠹㕦戳愶㥤〷昹昶戵ㄳ㉢㉢愶㌵挴㘴㤵㍥㕦㈲㐰扢㐳敤ㄱ昵つ㜳㉡敡敢攷昰㠶愱愳挴ㅡ㘷挷㘲〹慥㝣户戳㔶晡㘵㐵㕦愹㌶㙤㔲ㄶ愶㙤㑢攴晢㐳扦晢㑤㤰づ㐳㙡㙡扡㙢㡤㡤敥㝦㠱搵〶㙢昰敥户㄰ㄸ搶戴㝡搹〷㥢慦搸㜹昱愶ㅤ敢捦摢㝥昳㡡てㅥ扣㜸摢敡换㥢㙥扤慥改扥扢㥡㔶摤㌱㈳㔸攸㉦摦戹晥扥敤㝦扥つぢ愶㍢㤷慦摡戱晥㠶昲敤愷㕦搸戴㜹㐹搳㤶㔵㝤晣㝤ぢㄷ搶㌴㉥㔴㍤㠰ㄴㄷ㤵㙦扦㙥㙥晤㠷㥢捥ㄸ扦㙥㔰散攷㌷ぢ扥戸㐹㜵户ㄲ㌲㔶扤晢愰㙣㕥搱㡤㜷㐱㔴㌷㠸㜱〴㐲㌸昵㌰摥㐷摣昸㠰愴〹〴攳㠸戴っ㠶㤱敤㘶㔴昵挵晦ㅣ㑡㡣ㅤ㈴㍢㐱㔴㍦㄰㥥挸挶㠷㈰晡㔰扢㐳㍦晢㠷戴昱挱㘰㘷戶昱挷攰㝡㡣ㄶ搲㔴㝦㐸戰㥤つ攲㙡㄰㐹㠳㈸慡㜶㔰散〸㠰挷㑡挸㔸㙥ㅦ㠰㙣〲挰㌷捣㥦て㌱㘷〰扥㘳ㄹ摦㤳晣〰㘲〳攰㈷㌳慡㝣昸㕦〰昸㤹㐲㠴㔰〵㐰〴〰改搰㠸昰㔰扦晣㙣〳挰て㑥㈶〰摣攳昴ㄸ㉤愴愹㈰昲㌹〱昰ㄵ㤴㍢〲昰愵㤵㤰戱捥捦攵㜹〱愰〳ち㔵㥦㐳捣ㄹ㠰〲㈴ㅢ㕥㤲㑥㈰㌶〰㍡㥢㔱ㄵ㠶㈲〱愰ぢ㠵㜶〷㔱ㄱ戰〴㠰㍤㄰搳㠷摡㘹〷愰〴散㑣〰扡㔲愷搱㐲㥡ㅡ㠸㝣㑥〰扣㥤つ㠰户慣㠴㡣㥤㠵㐱搰搴㠳戵㌸㠰㔵㝥㌳㉢〰扤㤱㙣ㅣ㐸㜲㄰㠸つ㠰扥㘶㔴ㅤづ㈵〲挰挱ㄴ敡〷愲〶㠳㈵〰昴㐷㑣ㅦ敡㈵ㅢ〰敥㐲愴㈴㌷㈱㌲㠶㍢ㅦ㔲㍤〶㘵㌲㐱㤲㌴㌵〴㙡㥤㠰昸㙢㌶㈰㥥戲ㄲ㌲㜶㌷㠶㐱㔳て晣ㄹㄱㄴ愷㥥挸ち挴愱慣捤㘱㈴㠳㐰㙣㐰㤴㥡㔱㌵ㅣ㑡〴㠸挱ㄴㅡ〲愲㐶㠲㈵㐰っ㐵㑣ㅦ敡㐱ㅢ㄰挶〸戰㌳㡤ㅣ㐱㥤㉤愵愹㔱挸攷〴挰㕤搹〰搸㘸㈵㘴散㤷㡣㠱愶ㄶ㙥㙤㔲戶㈸戸戴㤱㜲㙢搳㍥㍥愲扡㈶ㄱ㙢㤰搹㙢㐱ㅣ晦㤹摢捥ㄲ敦挰ㄹ㝢㐳戴搲摣搰敤ㄲ㉦挳愴ㅤ晢摣㠹㐵㌲㌳ㄵ㤱㡣㥢〶㜳㑥晤晦㙥㡤晥㜰户㐶㜲㘳㤴㜲㝢搴挲慤〷㍡㑤摡捤㔱换挲戶㑥戴ㅦ扡㤸攳㐴㐶晡㑢㈱㌴愷㜶㌲捡愷捦扡㙣㌷㙡㤰户㜷㐲㑡晢戲摦㌲戱戳㘷㜶㔲㘶捡㝡㝢昲㌴ㄲ晦摦捤㕤扡㌷㤲㜹㜳㌷㤱㈳攱㈴㤲挹㈴㔳㐸愶㠲愸㕢慣㘱㤶㔷㤷㠷〱攰搶ㅣ㤷敢〳㠴戱㈹㐷㤹ㄹ㈴㐷㠰搸㠶搹愳㄰㜵ㅦつ㔲愰昷㙤扢㥢㕤捣攳㔲㘳㤱㔳㠶摥㘳㤸昱㔸㤰昶挷㠱㑣ㄸㄵ慢挱㐲挱敦攵〱㤴㌷ㅥ挵戴㝣㙢㠳晥戳ㅢ㠴昶愸㥤扡愸慥㜲㜶㐳㝤ㅤ晣戰㜸挷㌵愴ㄲ㉥㌴㡤㉡敡慥ㅤ㔷㕦㌶㉦攱慥ㅤ㔵㡤晦摡搷㑥㠹捤㡤㐵ㄳ㘵㔸〸挲敤摣㌸散㐵换捤摡攸慡㠵晦㈷㙦收㕣戹㌰挱愵〰愰扥㥦㔳改㘷慦㜹㕢㘵挱㕢㌸慣ㅥ敥㔸㌱昱㐴㈳散㙥㌷㙥捣晦㠰㜷㙢㉥攳㜸搴㙥摤㘷㌷ㅤ摡晢捡摢㝦戱晥㍦つ㜳㕦㌹㡣㜱㌰㍡昳㑡ㅣ㐵ㄶ㑦㑢㘹㙡〲昲㈵慦挴敥㌸㘱㐳㌷㌰㘷收㤷㘵扢ㅡ㕦㙡㈵㘴散㤱㑦㠶戶ㅥ慣挹〹㔰愴㔶㕢攷〹ㄸ愹㠷㔱㠳㘴愳㤶愴づ挴㜶㥥捣㌵愳㙡ち㌲挸㌹㜱㈲㠵ㅡ㐰搴㌴戰㘴㍡搲㠸㤸㍥搴㜹㈸㈳㜹㙢㌲ㄵ散㑣㄰ㄶ㔰愷搱㐲㥡㥡㡥㝣㐹㄰㙣户㈶㘷㘶〳攰っ㉢㈱㘳摢晤㐸㘸敡挱㕡㥣捥㉡㥦㤶ㄵ㠰㌳㤱㙣㉣㈱㔹ち㘲〳㘰㤹ㄹ㔵㐷㐱㠹〰戰㥣㐲㘷㠳愸㘳挰ㄲ〰捥㐱㑣ㅦ㙡扥ㅤ㠰愳挱捥〴㘰㈵㜵ㅡ㉤愴愹㘳㤱捦〹㠰㥡㙣〰捣戱ㄲ㌲戶晢换愱愹〷㙢㜱〹慢㕣㥤ㄵ㠰换㤰㙣㕣㑥㜲〵㠸つ㠰㌵㘶㔴捤㠴ㄲ〱攰㑡ち慤〵㔱ㄵ㘰〹〰敢㄰搳㠷㥡㘹〳挰扤ㅥ㈹愶㙢㐰挶戴㝣〳㤲㍣〶〵㌲ㄱ㤲㌴㔵〹㥤㑥㈸捣挸㠶挲㜴㉢㈱挳攷㈰づ㑤㍤昰㘷摣㠲攲搴搴慣㈸摣挶摡摣㑥㜲〷㠸つ㠵㡤㘶㔴捤㠲ㄲ㐱攱㉥ち摤つ愲慡挱ㄲㄴ敥㐱㑣ㅦ㙡㡣つ〵㘳㌶搸㤹㐶摥㐷㥤㉤愵愹ㄳ㤰捦〹㠰挱搹〰㈸戵ㄲ㌲㕣ㅣ㙡愱愹〷㙢昱㈸慢㍣㈸㉢〰㕢㤱㙣㍣㑥昲〴㠸つ㠰愷捣愸慡㠳ㄲ〱攰慦ㄴ㝡ㅡ㐴捤〵㑢〰㜸〶㌱㝤愸㤰ㅤ㠰㝡戰㌳〱㜸㥥㍡㡤ㄶ搲搴㠹挸攷〴挰挱搹〰攸㙢㈵㘴㌸㑥㜰㡤户〷㙢昱㉡慢㝣㔰㔶〰㕥㐷戲昱〶挹㥢㈰㌶〰摥㌲愳㙡ㅥ㤴〸〰㙦㔳攸ㅤ㄰戵〰㉣〱攰㕤挴昴愱扡搹〰㜰扦㡦ㄴ搳敦㈲攳㍣㘸㐲㤲挷愰㐰㈶㐲㤲愶ㄶ㐲愷ㄳち㕤戲愱搰搹㑡挸㜰攸㌸ㄹ㥡㝡攰捦昸ㄸ挵愹㑥㔹㔱昸㤴戵昹㡣攴㜳㄰ㅢち㕦㥡㔱戵ㄸ㑡〴㠵慦㈸昴㌵㠸㍡ㄵ㉣㐱攱ㅢ挴昴愱昲㙤㈸ㄸ愷㠰㥤㘹攴て搴搹㔲㥡㍡つ昹㥣〰昸昹愷㉣㉢㌵㍦㔹〹ㄹ晥㈴㘷㐲㔳て搶㈲㌷〷㔵晥〱㘲捥㉢㌵㙥㈴ㅢ㙤㐹昲㐱㙣〰㜸捣愸㕡〲㈵㍤愹愸ㅤ㠵摡㠳愸戳㄰ㄵ〰㍡㈰愶て昵㌹捡㐸㕥㄰㤷㠲㥤〹㐰㈷挸㝢㡣ㄶ搲搴㌲攴㜳〲㘰㐷㌶〰戶㕢〹ㄹㅥ㉡攷㐰㤳〰搰㤵㔵㙥捡ち挰扥㐸㌶昶㈳改挶摡㌵㉦㔶㜶㌷愳敡㕣㈸敡㐹㜳㝡㔰愸㈷㠸㍡て㔱〱攰〰挴昴愱摥戴〳戰〲散㑣〰づ㠲扣挷㘸㈱㑤慤㐴㍥㈷〰㕥捣〶挰ぢ㔶㐲㠶昳换㉡㙡捡㝥捦㠶ㄴ慣敦换摤愱ㅢ㤲晦㔷散㌴㥡晢㡢扦㜱捦捣敤挱攱㔲ㄷ挰搸㥥昸㌳㝣㘸ぢ挳て㤲㜷ㄱ愲慤㜱㤵搹ㅢ㜲㉡慡㉡㔴愵慡㔲戱戶戵㜰愵ㄹ㍦慢攱搷摦㜳㜴㐴㐶搹〵㌲ㄵ戴搷㔱昱㌴搲ㄱ敥㉡㜹㜵〴搲戲㉤搵愱㤹㠱ㅤ㤰捥㍡㘶摢㕥㑡敡晥扤昷慡㘰㍢㐶㜶㠵㈱慣つ摣㤷攴㍦㤳扡㜹戴っㅦ敡〹愰扡㐱挱敦㜵㠳昳晦㜷㜹扦㔷扤㠹㠱㜹㝣㕡㙡〵〶愷晥慦昹敦㍣散㌱㉥㐴㔲收㈰ㄲ攲㈰搲㘲㘲㑢ㄹ搵挵㔰㥡ㅣ㘱摣㠷㐱㤹摢ㅣぢ捣㝢慦㐷戳つ㌴㡦㔸〹ㄹ㡥㕢㜴戶㤲㤱㜶㌰㜴愹㠷㈱收㝣愹ㄹ㡡㘴愳㡣㘴ㄸ㠸㙤愴ㅤ㘱㐶搵愵㔰搴㤳㈶㡦愴搰㈸㄰㜵㌹愲㌲搲㡥㐶㑣ㅦ㙡ㄳ捡㐸㕥㙡㉥〳㍢ㄳ愴昱㤰昷ㄸ㉤愴愹㉢㤰㉦㠹㠳敤摥敢㤶㙣〰摣㙣㈵㘴戸㠹㕤〹㑤〲挰っ㔶昹挶慣〰ㅣ㠹㘴攳㈸㤲愳㔹扢收㑢捤戱㘶㔴慤㠵愲㥥㌴攷㌸ちㅤて愲慥㐲㔴〰㈸㐷㑣ㅦ敡㉡ㅢ〰敥㈸㔲㑣㝦戲㡣㈹㔷㈵㤲㍣〶〵㌲ㄱ㤲㌴戵ㅥ㍡㥤㔰戸㈴ㅢち慢慤㠴っ㐷戵つ搰挴㐵㜱愳㠶挵搵㤲搴㤱搴㤳捣〵㔱慢㉣㘴㜸㈳挱晢㔵㉥㕦㜱㍡㠸晢㙣捡㌴㤲㈴㐰㙣挸捣㈷㡦换㔷ㄸ戹慦㠱㘴㑦㑡㉦㈴㜳ㄱ㠸扡づ㔱㉥㉦戹㡣㤳㄰捤扡㐶㜱㉤㈵㌲挰㌹〵㔹㍣㐶ぢ㘹敡㝡攴㙢〶㠷㙢ㄴ收㌹戲㌸ㅢ㌸㈷㕢〹ㄹ㉥㜸㌷㐱㔳て搶㘲ㄹ慢扤挸〲〲㡣搴挳㌸ㅢ挹挶㌹㈴攷戲㜶捤㕤攴㍣㌳慡㙥㐶㠶㥥昸㌳㔶㔲攸㝣㄰㜵㉢愲搲㐵㔶㈱愶て㌵ㄷ㘵攸㜳挴㝤㈱㔲㑣㕦扤っㄴ㉥㐶ㄲ〶ㄳ搰㑣㠴㈴㑤摤〶㥤捤㈸晣ぢ㌱ㄳ㠵㜸㌶ㄴ㘲㔶㐲㠶ㄳ攰㥤挸㉢㈸慣㐱㜱慡㌲㉢ち㙢㔹㥢㜵㈴㔷㠱搸㔰戸摡㡣慡㡤㔰搴㤳ㄵ搹㐰愱㙢㐰搴摤㠸ちち搷㈲愶て㜵戴つ〵攳㉥戰㌳㡤扣ㄱ昲㥥㤶搲ㄴ扤ち㥤〰㤸㤴つ㠰㠹㔶㐲㠶〳攲扤搰挴㜹㤹㌵ㄷ搹㡣㘰㑦晣ㄹㅢ㔱〷攳㉥㄰㜵㍦愲㥣㡦㤸㠷扥ㄸ戸〶㕢っ敢㝦捤攷㐵攲㍥㈴㘵㕡戵〹捡㜰㤱㘸㈱戱愵㌴昵〰㤴㌶㥢捣㡢㠴搹收㠳戳㤹㕣㙡㈵㘴昸㐹㍥〸㑤㌶㤳ㅦ㐲戴㈷㙢晣㈸㜵㍥〶愲晥㠲㘸愶挹昹㠳挱挶愱晦户㥢捣戵敦㑣㤳㥦㠰㌲㤸摣㐲㘲㑢㘹敡ㄱ㈸㜵㌲搹㤷捤攴〱㔶㐲㠶㍢攷㔶㘸㤲㙥晥㈲捤㍢〴㘲捥ㄷ挴㤷〹挱㉢㈴晦㤰慡㥢㌶挱㑦攲㔵㌳慡ㅥ㠷愲㥥戴昵㌵ち扤づ愲㥥㐴㔴扡昹ㅢ㠸改㐳昵㐲ㄹ挹㤳晤㕦㐸㌱㍤㍦㌳㑥昶户㤱攴㌱㈸㤰〹㥦愴愹愷愰戳ㄹ㠵收㤳扤㙢㌶ㄴ昶戶ㄲ搲㕤㑡昳㥥㠱愶㕦攱ち搸づ攲㐶㝣㐶㜵㙣〱㝤㤷㍡挶㔳晣敦㍢挴㠷搵㑦愸㑦っ慢㙥㥣㕢ㄳ㕤搴㌹㙥〵㡥㤸ㅤ慢㠳ㅢ㘴〳扣㈱搳㜸昵㜳攷挶慡㡣昸搴晡㜹つ㤵戱搱挳晥〸㙥㤲搲㔸㜰晤㔱捡㤵愳㜰晣㌶捦㍦ㄷ㜲愲㤷昳㔶㈶敦㙦㔰㤹敥挰㘵摢挳㙢摥㉥昶㐲戰愰ㄹ搱㘹搵㠹㥡㔸扢戸愴㑢㌸㍦づㄴ攱㕢㕡搵㌶㍥㙤㌶ㅣ㥢㠶㜵㠸㡦㙣愸慥慡愹慥㡢戱㌱戰〵㑤㉦摣㜱戱㔹昰㈳㥤㔴摦㔸捤㘷㥦㍢挴愷㌵㐴敢ㅡ攷搲㈵慥㜲搱㙥㈹㌱搹㡥挹㡢て慤慥㙢㐴㌱昲ㄴ〵挳〵昱愹戳敢ㄷ攰㌱晣㜹戵㜵㈳愳㜳ㅢ晦㄰慤愲愴㕤㐸愴㘹㔴㡥捡挹㔱昹㌹昹扦戵㝤摣㍢㜰㜶㜵㌶ㅦ㔸敡㡥㝥㥡㘸愸慥㤸㐷挰愴㥣〰㘸㉥㠹戴愱㉢敦㌹㠴㕡搸㠶攵敤戹攵摤㑢捦㔵搶㌵攵㔱ㄴ㐷㈷捡攴扢つ昶㠳戸戱ㄳ搵㘹晦㈱挸㤸㤱搳㐷㌷晢㜴晦㔷㉦ち挸㝢ㅥ㥡搳㌷户搲㝢㕥搲㠵㜶㜷〸㜷㌴扢㄰㜹散㔱㌸㌳搱ㄳㄸ㑢敦㤶㥥戸挸戰㠷㜶㙣づ㡥㠰ㄷ㘶晢昸戸㘸㐵慣〶摢㤸戵搱㐴㐷㌳挲攵つ㍣㐸摥㘸愵㤵搵搷搶㐶搹攵搸㕤愷㔶㐶㙢㘲昹昱㈱昳ㄲ昵攳慢敢㡣㌸㠸昴㑢㡢ㄵ㕤〸㔶㜴愱戰摡挷愷搰愹㕣挲搴㔵㍦㉢摡㔰㥤㤸㕤㕢㕤㤹捦〸ㅤ扦晦㄰㝤ㄵ攳㝦㉥挰搴㠷ㅥ㑢搲㌷㔷捤㙤㐶㌴㜷㈱戶㝡〹ㅤ㥢ㅦ㍤㍡㐷戹昱㑦晤挶昵ㄳ㡣㍣㜲搱㌰晥〳㙤㜹昸㤳愱㐸敡昲愹㌸攸㈱昸改㘹攸愲㌲㌸愹ㄷ㈸㠰㍦攳㈳㠸㌲挰扦摣ㄷ㐱㕡㜴㐸㙤ぢ〱捦戸晡㘸搵〸㌸挰搴㌷戴戵㕥㙣㤱㡦愶攵㔰搳攰愵㡢㜰ㄹ扣捥攱捤㍥扦扡㉡搶㤰㑦挶㔴㙣ㄸ攷搲戹搸㙤戶㈱㑦㘶㔷㕥㕥扢㝣愷戲㐶㙢㕤扤㉣挷㑢晢㡢㐱㐶㘷攸晦捦攴㤲㔲搶摤攳㤱㑢搴挷㌰挷昸㠴㌶扤〴㈶敤㐹ㄳ昸㤴〲㥦㠱攴扤㡣挴昴戶㐹昵搶㠵㑦慦〱愱㕣慥晣攴㜲挵㈷㕦慦昴攴㠹㈱敤㙣㉢㍢㙥㜳㐵㈷㕦扦㘷挲㍤ㄵ扤㍣㔶攵㌱挷㔷㙥㤷攳捡攰捡挹挹㐵㔳扢搳㍤㤳㌲㡡㠵戲摡愹㌱昱㈸㔶㕣㤴㜰㝦㡥ㅡ㜷攱挹〲晤攵㈹敦㔴㐸㥦㐵㘰㡥昵㈵㠴㕤ㅥ昵㉡愸㐶攰㔰㜲㑣㠸扥㈲〲㕦㠳愸㜷挱攴㍣挰㜶搵㔲敦㈳捡㉢㤷换晤つ㐴㕡㍢㔲慡て㤰㠳愳愵昱㉤ㄵ㌷㈱挴㐱㈸搹㈹扦〷㜷搷㥤㜲㍢㜳攰捦昸㠱㑡慣㠸愲ㄷ慡㌶〳㝣㙤挶㡦〸ㅢ㍦㔱㜰愷戳挰捦ㄴ昸㠵〲ㅦ㐲㠰慤敤收㘳㍣捤㈸摡㕦攷攰㠰㘲づ㠴㠱攲挷㌶敤㌶ㄴ搱㠳戱㝡て愲扥㠱㐰㍡㡡摦㠱㘷愲挸ㄷ㤷戴ㅡ挵敦㤱㑤㔰㜴㔳昱て㠸愵愰㤸て敥慥㔱晣〹搹〴㐵扥〷㈷㠹攲捦攰㍡愰攸㠱㡣搱㡥㠲扦㌸ぢ戴愷㐰〷搱〴㕤㠲㘲㐷挴㍡改扥搸晣㈶ち〷〸扤㤰〴㠴戹挸愹换㍥㡣ㅣ戳㈳㜶愲敡摤愸㥡晥慡改㄰搲㐹搵㠴戰㌳㐴㕡つ愱ㄷ搹〴挲㉥㔴㑣晦搶ㄴ〸昷〰㜷搷㄰搲てㄶ㍦扣攵㠷㑡㄰㤰㍦㍡挳㙡㌳搰慤戴ㄹ㝢㐱挶搸㥢㠲㜴㤴㜵㄰攸㑡㠱㝤㈸㐰摦㔹㠱㜰㕦挴扡㙡〸ㅤ㕥愳攱㠰㘵㌷㘴〱㤶㕤㙤㘵散搳㕣㠹晤㔹㐶㜷㤶㜱〰〴搲戱愴㐷㤲㠹㘵て㠸戴ㅡ换〳㤱㑤戰散㐹挵㜴㤵㑤挱戲ㄷ戸扢挶㤲㉥戵昸攱扤㉦㔴㠲㠰晣搱慦㔶㐳〵扥挶昲㐰㠴㡤㠳㈸㐸㥦㕢〷㠱㍥ㄴ攸㑢〱扡攱ち㤶〷㈳搶㑥㘳㌹㍣ㄸ捣戸㜷挲㠸搸ㅦ㌲〰捦㘷㔳扡㙦㜳愹㠷㔰㘹㈱㤵搲㕤㌶ㅤ㍣晡挸㥡攰つ㠰㐸慢挱愳㔷慤㠰攷愳㘲扡搷愶㠰ㄷ〰㜷搷攰昱搲㠶ㅦ摥昰㐲㈵〸挸摦㘰㔰㡤㡤慤㈳㠶㈰㘳ㄴ㔱㜰㠸戳㐰㌱〵挲ㄴ愰敢慥㠰㔷㠲㔸㠹〶敦㔷扦戹挴愱㥢づ㠴㐲㈰㍤挲㔶〳摢愸㜹㈸㙢㜰ㄸ㐸ㅥ扤攸㕡㤸愳挲搹挸收㙢搹ㄱ㍡摤昱改㜵搵〹㑣ㅦ㔹摢ㄱ搵〹㕣〸摢挷㐱㄰㤴㙤戲慥㌲慤戴㘵敡㤷扣㕤摤㍦㌳㈹攵晥戵㕢㘶扡晤㠶戶㤷㐳戲㜹慢㙢扢挳摤㤵㤰摣昲㍡搴昱㡦㜴て慣㑣㈷㌹㤷㜹ㅢ摣攲昳敦捤戸昳㌶收扦戸㘳㤶戳ㄵ㉦昱㘱户㔱昸㠷㤳戵ㄴ㘱摥㐰㑦摡㘵ㄷ戱㜹搸戶㘳户攳㑤戴挹敢㘰戹㜰㡦慥㙢挴㌴搴㘳挵㜰㤳搱搱ち㑥㥣㤷㐸㐹㠹㉥散㙣愵攰搱㥥㠹㜵戸㌵慣㡣㌶㔴晤㐱敥㉢㘰㥢㜹晢㉢户〸扦㜱㘹〲㑡㜸搸敥〶戰搸㌴搸挲㥡慥慣扦挶㐱戹〰㥡㍡㄰敥愴摦㜲㍥㘳㝣〵㠸戴㠲昹㠶㌰㔹㈷㥡ㄴ挳㈲て摥愰㔶ㄳ敢㉣ㄹ㤲㔱㤹㐳ㅢ昱㈱ㄵ㡤㔸㜳㐸昰㠶搲ち挹㠹㙥挴愷挴㙡愲㝣づㄷ昷㝦㔶㘸㔲㘵〲敥昸㐹〵㝣挶昶㡦搳㐲㐰㈴搷㙡㈵㈵敤攴㙥㘱㝣㑢㌵㠲攷搰㙦㙣㔵戴㕢㕣㡥㡦㑢搵ㄵ㤷昳戸戱搴愵〳搶㑡ㄴ㕤㤴㕢㔸挶挰㔸㙢昷㈶攷㤹搴㔹㍦攴㘰㡥㜰㌲㜸戵搷㍣慥㜵㜴攰㥡㔴㐳〲て愲昳戵ㅣ〵㍣㜵㙡㜰㌳㤸愸挶㙤㝤捤愲㡥昱搱㜵㤵㌵昳慡㘲戲㈶愰挷㙣㔹ㅡ昸㐳戴ㄷ㈷愴搶ㄹ搵〲㉥ㄶ㈸愳昱昶㐹晤㘰昲㙦㕦ㄸ㌴㠶攰㑣㤳挱づ㍡㍣㐶㤹㜵摥搱㜱晣㔷扢敥㝢㔰晢摤㥡ㅦ㍣㤱㜷ㄲ㘲㘸换㘰㜱㑣愳晦㜵㤹昶晥㤷㌳捥㈶㌶慥㝥㕣㍤ㄷㄶ㙤慣㔱搵㈶敢て搱㑥戰搳㙣㈶昸㌰晣收㈵㔹㉡挱愸㈷晦㘱〹挴晡扦㤴搷ㄸ㕣㘵ㄴ㝤昳㘵㝡㈷晥搰㌲挳ち㐰㈶㠷挴ㄲ愱攷扥㑣攵㠶愳搵ㄴ㕤昸捤愹㥣搹㥥挶㐸㜰㜷㍤㤵愳慢㍦㝥搸㌹愷ㄲ〴攴㡦扥晤㝡㉡㘷ㄶ挸搳捦ㄸつㄹ㘳っ〵改昷敦㈰㌰㤶〲攳㐰昲攸晥㥤㍥搰㘴昵㘴㐷〶ㄷㅥ愶挶㙡㐴㝥㉤㔷㘵㜰㥡扡昱㄰㌵㍣昵戱戲攳㙥㤷㑦㑦㜷㘳㍣愴晥昶散戳㠳㔸ㅦ㌸搴㌴㤷捦㥤つ敢摥㙤〲换㥦〸愲攸搲㥤㍥㘵愶ㅦ户㌹㘵㥥〴㤱㔶㑦㤹改昹㉤㌸㑦愶㘲扡㠰愷㑣㤹愷㠲扢㙢㥣攷㈲ㅢ㝥㉥㘳ㅡ㤵搰〴晥搱㕦㕣挳㘸㥢㌲㑦㠷㡣㌱㠳㠲昴㈵㜷㄰㌸㠲〲㐷㔲㠰敥攵㌲㘵㍥ち戱攴㤴昹㔷扤㕡㡢㉦㘹㜳㤸㌲ㅦ〳㠵㤸㌲搳ㅦ㕤搷挰㜶㤷㝣㉣㙢㜰ㅣ㙢㜰㍡〴搲㤱愶挳戸㠹昴昱㄰㘹㌵搲㑢㤰㑤㤰㉥愷攲愵㠸愵㈰ㅤ〵㜷搷㐸㉦㐳㌶晣㕣㐶〵㤵㘸愴改㤸慥捤戰㈱㕤〹ㄹ愳㡡㠲㜴㕡㜷㄰㠸㔱㈰㑥〱晡戱ぢ搲戳㄰㑢㉥搷愴扣ㅥ挸〱挵㙡〸〳㐵㍡戵㙢敤〳挹㌱搷ㅡ㑥愰昶㌹搴㑥〷昴㜴ㄴ改㜵㙥愲㔸〳㤱㔶愳㐸㍦㜵㐱戱㤶㡡改戰㥥㠲㘲㍤戸扢㐶㤱㡥敤昸挱〹㠳㑡㌴㡡昴㙥搷㘶攴㌵㥢㜱㈲㘴㡣〶ち搲昳摤㐱愰㤱〲㝣㙤戲㕡〷〱㐱㜱ㅥ㘲挹晢攳戱㜸㐳慢〳㜸ぢ㈰〳昰㌶搸㤴摡ㄶㄷㄶ㔲改㈲㉡愵摦㝡㍡㜸㜴㔶㌷挱㍢〹㈲慤〶㡦敥敤〲摥挹㔴㝣〷㘲㈹攰㥤〲敥慥挱愳㍦㍣㝥㉥攳㔴㉡搱攰搱㈹㕥㘳㐳敦㐹慢て㥣〶ㄹ攳㜴ち搲㘱摥㐱攰っち㥣㐹〱晡搰ぢ㜸㑢㄰㙢㕥愸戱扤ㅢ搲㝡慦㥦〳㤶㘷㈱ぢ戰愴㕢扤㉥挳戶搶戰㡣㘵㉣㘷ㄹ㜴㠱㑦挷㜲㉢㜸㈶㤶㘷㐳愴搵㔸搲㔳㕥戰㍣㠷㡡㥦㐰㉣〵换ㄵ攰敥ㅡ㑢扡搶攳攷㌲捥愳ㄲ㡤㈵晤敢戵ㄹ戶搳㜹㈵㘴㡣昳㈹㐸摦㝢〷㠱㔵ㄴ戸㠰〲㜴挷ㄷ㉣㉦㐴慣㐸慦㌵晣慡㠱搳愹换㕥っ㙤㠰㤹捥晢扡㜸摢㐲挳㥦㔸晣㙡ㄶ㑦㐷晢㜴㤸改㕤㙦挲㝣〹㐴㕡つ㌳晤昱〵收㑢愹㤸㡥昹㈹㌰㕦づ敥慥㘱愶〳㍦㝥㜸挰㠵㑡㌴捣㙦㈳愴捤〰㕦㜷搹㍦㈳㙣慣愱攰㍢捥〲㔷㔲㘰㉤〵摥㠵㠰挰扣づ戱攴昹㍥ㅥ㙦㥤㜲攸愳敢㈱〳昰攸搷慦㑢敤摡㕣敡搵㔴扡㠱㑡改㥦㥦づ摥愷攰㤹攰㕤〳㤱㔶㠳㐷㌷㝥〱敦㕡㉡愶㍦㝦ち㜸搷㠳扢㙢昰攸昷㡦㥦换戸㠱㑡㄰㤰㍦㍡晦㙢㌳挰搷攰摤㠸戰㜱ㄳ〵昹㘰㠰㠳挰捤ㄴ戸㠵〲㝣㔶㐰挰扢ㄵ戱㈴㜸挳昱㝡㔱〷昰㙥㠷っ挰攳昳〲㕡愹敤〴扦㠳㑡敦愴㔲晡昶愷㠳㐷㠷㝥ㄳ扣㡤㄰㘹㌵㜸㝣〴㐰挰扢㡢㡡昹㉣㐰ち㜸昷㠰扢㙢昰昸捣〰敡散㌲㌶㔱㠹〶㡦てづ㘸㌳㄰搴攰摤ぢㄹ㘳㌳〵昹㔰㠱㠳挰㝤ㄴ戸㥦〲ㅤ㈰㈰攰㍤㠰搸㙦㥣ㄹ攱挵㤶づ㐸㍦〸㠵㐰扡㤳慤〶戶㙢晡㐳慣挱挳慣㐱㔷〸愴㈳扤㉦㜸㈶搲㝦㠱㐸慢㤱摥て搹〴改㐷愸㤸てㅤ愴㈰晤ㄸ戸扢㐶㥡て㈷〸搲㕢愹㐴㈳摤〳㕣〷㈰ㅦ㠷㡣昱〴〵昹昴㠲㠳挰㤳ㄴ㜸㡡〲〷㐰㐰㤰晥㉢㘲㠵㝡㈸㙤攵㉢㌹ㅤ昰㝤〶㙡㠰㉦㥦㝢搰攵摡挶搰㘷㔹敥摦㔸㉥㥤昱戵〰㜲攸㍥昲ㅣ〵㥥愷㠰摦㔹攰敦ㄴ㜸㠱〲昴㡡搶ㅡ㜸㐱昰㜸昶㠴ㅥ攳㐵ち扣㐴〱㝡㈷愷㌷㈱㕤㤲捤㈶㝣ㄹ㈲慤㙥挲㌲㘴㤳㈶㝣㠵㡡改捤㥣搲㠴晦〴㜷搷㑤㐸慦㘷㘹挲㔷愹〴㜵㤵㍦扡㍥㙢㌳㙣㐰扣〶ㄹ攳㜵ち搲㉤摡㐱攰つち扣㐹〱㝡㑡㑢ㄳ晥ぢ戱㝤㤲㑤攸昰ち㑣㠷昶㝡ㅢ㜹搰㕥攳㙤㠵ㅣ㑥㡥㌹挷㝤㠷㠵扣换㐲㘶㐰㈰ㅤ㑣扡㌷㥢㘰扥〷㤱㔶㠳㐹㠷㘸〱昳㝤㉡㍥ㅡ戱ㄴ㌰㥢挰摤㌵㤸挷㈲㥢㠰戹㡤㑡㌴㤸挷㠱慢戱ㄲ挷〲搳㡣敤㤰㌱㜶㔰㤰㉥搶づ〲㍢㈹昰㈱〵捡㈱㈰㘰晥ㅢ戱攴戰㍤摥㜹㡥晢ㄱ㘴〰㕥愵㑤愹㙤搸晥㤸㑡㍦愱㔲㍡㐸㜳㜷㐲〶㈴昸ち㌰㥢戵㌲晤㌹挲㕣㌳愸㠵〸㔷愷昵㤱扡愶晡㠵㈵㐵晦㙡慥慢搲攲㕤慤搱㈹晡㘱㜳㥤捥㘵㝣㠹散㔲戶㉣ㄴ㝤㙤㈹愳㡢㌶ㄷ㡢昴攱㍥㘳㜵搹㡡㥡昷㑢昳㡢ㄳㄳ捦晢晢㡥㔲㉣㉡挹㜲〶㝤戵愵㤹挵㜵㕡捡づ㈰㡦㝤㌹㠳㥥摣搲愴摦㐲户愲㑢户搹愴搶㜲挶昷攰敥扡㐹攷㈳㥢㔴昷〷㉡㐱〹昲㐷摦㙦摤㘲慣愹搵㌳㝦㠴㡣昱ㄳ〵改ㄷ敥㈰昰㌳〵㝥愱挰㐹㄰攰㤲㠶挱扤㠸攴㉡挴㈹戶㙣戶㉢〰晤㙤っ戸㔴戸ㄴㅤ户搳㝢㍣扤戵捤ㅥ摦〶㈲慤敥昱昴敦ㄶ㜸昰捥㐴㤷愲愳㜷㑡㡦㜷㠳扢㙢㜸攸㄰㉥昰戴愵ㄲつ捦㑡㜰戵昵㌰㔶挳㤳てㄹ㠳ㅦ慣㔱昴ㄸ㜷㄰昰㔰愰ㅤ〵攸㐴㉥㍤扥㍤㘲挹ㅥ㍦摣戹挷㜷㠴っ㝡㍣晤挴戵㔲慥㌴㕢㡤㔲㐰愵㕥㉡㕤〳㠱㜴昰攸攴㙤㠲搷〹㈲慤〶㙦ㅤ戲〹㜸扢㔱㌱晤挳㔳挰敢〲敥慥挱愳ㅦ戹㠰户㍢㤵㘸昰㌶㠰慢捤戰㠱户〷㘴㡣㍤㈹㐸㐷㜳〷㠱扤㈸戰㌷〵慥㠵㠰㠰搷ㄵ戱㘶昰〲㡥㔳攴㝤㈱〳昰攸㝦慥㤵搲ㄳ挷〲㙦㍦㉡敤㐶愵㜴づ搷〲㐸搷〲晢㔳愰㍢〵攸㌸敥㈰搰㠳〲㍤㈹戰挹㈶戰ㅤ收㕡搷挶〳㈸搰㡢〲㜴挶㜶搰搰㥢〲〷㔲攰㌱㘷㠱㠳㈸搰㠷〲㜴扥搶ㅡ㕥㘸㉥愲㉦〵づ愶〰㝤愱搳扢〰ㅤ愰捤㉥搰て㈲慤敥〲㜴㤹㤶㉥搰㥦㡡晦㠱㔸㑡ㄷ㈸〴㜷搷㕤㠰㍥搶搲〵〶㔰〹㘰㤵㍦㍡㕡㙢㌳㙣㕤挰〷ㄹ挳㑦挱搷㥤〵〲ㄴ〸㔲㠰㝥搹搲〵㐲㠸㌵㜷〱攷扢愴㘲挸愰ぢ搰昵㕡㤷㙡㍢㝦挲㔴㕡㐲愵㜴攲㤴捡㐶ㄸ戳㉡㥢㐷㐷扣㜴晦戲っ摦㍦㈹㈱㑥㉦挰愹㠹㐵㌵昰扣㘴㤰晥㘶㘶㠸㙢戴搸扣〴て㕥㜰昵つ搸户挸㑤㝦㘷㑦㌲敦搳㈸戸㕤㤷戴搷戵㑡㌶愶搰挹㌰敦㠹ㅦ㌲㕦㐹㥡捣捦㡡㌷扦扢㤱㜹㜸戸て㐵ㄵ扢㡣慦慥㙣愸㙦慣㡦㈷扡㑦㠵㔷㜱㜷扥晥㌶㡥㡤㡢㈱㜹㕢愱搱戱㑣ㅡ㤶㕢〷㐳昲收昳㜵㤰㥥㌹㜵昵ぢ敡愴㌶㜹㡤㝣ぢ戰攰搵戶㉤㡢昱戰ㅣㅥ〷〰㍣敦㐷愸㈸㌳ㅢ㠳㐰㍢戴昱搲愳㡦挲敥挳ㄱ敦㕤㌶戴㙣㑡㜹戰戸㌸㔲ㄲ㠸晡攲扥㘸㈴㔴ㄱぢ㤷攰㍢㍥㔱㝦㐹㘵㌴ㅡ愹ち挶㉡㘲㕥㜱〰愴㡥㔲攴昱搲攵㑦㡡ㅢ捣ㄸ㝤晦㈴挶戴㍣扡捡戵搶ㅢて昲㜸搹㠴昹㜸㘹㙥摢戶ㄹ晢攳ㄹ㕥㝣挹搷㝣扡摤ㅣ㍡昲ㅥ〲㔸改捦晣㍡㘷㘲〵㥢摢㠲㤹搹摤㡤㌲㔴挱ㄸ〶攲昱搲㡢㡦㍣昷㜰㐴㍢㤵つ㉤㑦晤㔸㤵㝢〴搸敤挱㤶㉤㥦㈹㜸扢慦㝢㈴㌸ㅤ挱戱㜹㉤㝢扦戶戴ㄸ愳㤰㘸昴㘴ㄹ㍤㐰㤴㜸昱㌱㌶ㄶ㝣㔶㠶㐵愹敦㈱捤㕥慤敥㠶㈱散㑢㘰扡っ㜶㄰昶〵戵ㄱㅣ昶㠷搴昶愴㉦ㅦ㈵㡣㠹愰㘸㑦晡敤昱昰搲㜷㑦〲㜴搴㤳〰㥤昵㜸愸ㅣㄴ挷㤶㔱㜷㐰ㅤ㔱ㄳ敢㈷㐳㠱㌱〵挴攳㙤〳㠶昰㘸扤㐱㕢つ㥡攷捤搵晣ㄹ㘴昵㠵㉥昹㠸㤳㜲㠳㉦㡤㝥ㄴ昸っ挸㕦㍥戸㘲捦㜵㈸㈲搳㥥㙢挰捤戴挷㐰㈶㈸挱㥡㍣㈸散昱㈰捥挳摢㑥〷摡敢㐰〷㉢愰扣〸㠸㍤㔷摢敤㈹㘷ㅤ㘷㠲㜸扣㥤㈰㐰㘱㈳捤㥥摤㌴扦㡡戲㍥㑡っ〰㔱㕤挰ㄷ㝢㘶㠱捦〰㌳慢㍤㐰挵㥥换㙣昶戸慢㈱㤲昵〴㔶㤷㌸ㅡ戹㈷㌴㈱ㅢ㤶捣㐱㘱攴㕥搴㡦挳扢户づ㜴搵㠱㝤慣㠰敡㠶㠰ㄸ昹㈷扢㤱戵㔰㘰搴㠱㜸扣晢㐳㠰挲敥㝡㐴ㅤ扡散㕣戰㔳扢散㠹攰愴㜷搹敥㤶ㄶ愳〱㠹昲㌱㉡昹㉣㤵敡〹扥㐰㌲て晣㈴㈴扤挰ㄵ㐸捥戵㐳戲〰㈲搹㈱㌹摢ㄱ㤲摥搰㠴㙣㔸〸〷〵㈴〷㕡攵戹㑦㐲摣ㅣ㤷昰㠹㥣ち㝣㉥㉡㔶攱挷㐷㘳㘲晥㐰㐹㈸ㄲ慥㡣挶㝣扥㔸挰㔷ㄱ㠸㔶㝡て搲㜵㍣ㄹ㜹扣㝤㜴㙣㌱㘳㝤㜵㡣㘹慡㍦㘲〲收㤹㜶㌰㑦㐳㤲㜱㍡㠸挷㝢〸〴昰㜳戹捦㐰搴〱捣㌳挱㑥〵㜳〹㌸改㘰ㄶ㕡㕡㡣愵㐸㤴㉦㘹挹㌷戵㤴て㝣〱㜳㌹昸っ挸㕦〰㕣〱㜳愱つ捣收昳㝦扥㈳㙥㐱㘴㠲ㄲ㤷戱〲ㄴ戸㠵㄰攷攱㉤搲㠱㘲ㅤ〸㕢〱㌵㄰〱戱㍥㘱户㝥㈵敢㜸㍥㠸挷㝢㈸〴㈸㥣㝥扥ㅣ愶昹ㄷ㔱㜶㌸㈵㠶㠱攴ㅤづ㝥晡挸㙢㝢㈲挲收㐶挶ㅢ㔱慦捤挷㑣挶昰㑥昱挹昳愲㌵昸〶攰㐴㌸㍡㈴挸晡㈳㙣㡦攷㥡敥㈶扢扣㝣㠹〹挷ㅣ挷慢㐸㍡〶愹㔷ㅦ换㌶㜹㌳昵㙦㜳㐷昱攴捤㐱㡢戵慥ㄴ㜶愹捣㙢㥣挷戸㠴㉤㡣㥢散㔲戴㤹昴挱㑢挱搰㠷ㅡ散挴捤ㅢ〲㙥敢㍤㌹愸戵㌳收㈲搶昷㐶昹〰㐹扦ㅡ㌸戵戴攲㜹㥤换㔰ㄷ㔵收㔴〷㌵㕣㜳慦愰っ㡡㐰ㅣ㙦㑢〵㤵㜳㈶㘶㍢㘷摣㙢㈰㤲㝤〰慡㜴㍣㤱㐶㐱ㄳ㤱㌰搶㠲攲㐴ㅡ㑤晤㌸扣㘳㜴㘰慣づ㡣戳〲〵攳ㄱ攰攵㤸扢㘰扦敢攱㥤〰捤㉣挵扤づ戵㜱ㄸ㝦慥〲㍢㜵晣㔹て㑥晡昸㌳搱搲㘲㕣㡤㐴昹ち㥢㝣㡦㑤㑤〶㕦摡晥㕡昰ㄹ㤰扦愹攰ち㤶㐷摢戰㙣ㅥ㝦㡥㜴㠴㙤ㅡ㌲㐱㠹换戸ㄱㄴ戰㑤㐷㥣㠷㜷㠶づㅣ愱〳㐷㕡〱㜵っ〲㌲晥捣㠰捡攴晣攳㘶搶昱ㄶ㄰㡦昷㔸〸㔰㌸㝤晣㌹㑥昳敦愰散ㄴ㑡㑣〶㔱攵攰㡢㍤㜷㠱㥦戴㈷ち慥搸㌳捥搱㥥㌱㡥昶㔴㈰ㄳ㤴戸㡣㝢㐱㘱㑦㈵攲㍣扣㔵㍡㄰搳㠱戸ㄵ㔰搵〸㠸㍤愳散昶摣挷㍡摥て攲昱㥥〰〱ち愷摢㌳㐷昳ㅦ愲散㔱㤴攰慢〱㔴㉤昸㘲捦㈳攰㌳挰捣慡ㅥ㔴散㌹摣㙥て攷ㅦ㌲㍦㍣捣搱㥥戹挸㐴〹攳㜱㔰搸㜳愲愵摡晤〴攲收㜵㌵ㄴ㡢㔶挵㠲搱㔸㍣㔰ㄵぢ挵㘲愱㡡㜸㉣ㅥ昱㠷昰㘱摣戸㉦攸慢㉣昲㌶㔸㜹㡣㈷㤱挷摢愸㘳㑦㌱㤶搰㌱愶愹〵㠸〹ㄲ挵㜶㈴㥥㐱㤲昱㉣㠸挷扢㄰〲昸攱挵〸攴㜱㑡㘲㜰ㄶ攲㕤愴昹㝦㈷㙢㈶㈵捡㐱搴挹攰ぢㄲ㉦㠱㥦㐴攲ㄴ㜰〵㠹晥㡥㐸ㅣ散㠸挴愹挸〴㈵㉥攳㥦愰㐰攲㌴挴㜹㜸㑦搷㠱㌳㜴攰㑣㉢愰捥㐲㐰散改㘳户攷㌵搶昱㜵㄰㡦㜷ㄹ〴㈸㥣㙥捦㜲捤㝦㡢戲戳㈸㠱㍢㍡㌸㕦㠰㉦昶扣ぢ㍥〳昲户〲㕣戱愷㥢摤㥥攴捣㝦㕦㐷㝢捥㐳㈶㈸挱㝢收㐱㘱捦㑡挴㜹㜸捦搷㠱㔵㍡㜰㠱ㄵ㔰ㄷ㈳㈰昶㜴戵摢戳㥤㜵摣〱攲昱晥〹〲ㄴ㑥敦愹慢㌵晦㍦㤴慤愳㐴㉤㠸扡ㄴ㝣戱攷ㄳ昰ㄹ㘰㘶㜵㌹愸搸攳戵摢㤳散愹ㅤㅤ敤戹〲㤹愰挴㘵㝣〱ち㝢晥㡣㌸戵戹扦㐴摣散愹㔱㝦挰㔷㔴㔴ㄹ㉣㠹〴愲愱㔸〰㥦扢慡昴㠷㡢㐳挱攲㔸㉣㕥ㅣ㡢挶摣㕦㌵㡢㠶㝤昱㔰㥣㥦㔵㡣ㄷ㠵㐲㤵昱㘸㈴㔸㔹ㄵ〹ㄷ〷㝣㝥挴㐳㔵敥慦㤳愲ㄵ挵昸搴㈰㘶㤶㔵㔵㔱㕦愸捡ㅦ㡥㔶㠴攳挱〸扥㙢ㄵ慤㡡㐷晤戱㠸㜷㡤㔵ㄳ攳ㅢ攴㌱扥㈵昹づ挴㝢愵收㝦㑦搶て㈴㍦㤲扦㔶昳㈹㘵捡㌳愷㕡て扥愰敦戲愳慦攰㠰㘲攴㠰㜸扣㔷敢㡣㘹㘷挷〶捤㜷㔳㤶敦愶㤳㡦晤愹㙢挱ㄷ昴昹㈵㙥改㐹㐴晦㝡㜰〵晤慦扦户摤㜷㉤㐰つ㘴㥣昸ㄲ摣捣晢慥ㅢ㤰㠹ㄲ㐶〷愸〲晡㌷㕡慡摤ㅤㄱ户搶〵㉡〲㔵愱㐸戴挸敦て㔷㠴〸ㅡ㐶ち㐰㠴㡦㔶攲ㅢ慥戱㠸摦㝢㤳慥㑥〱昲㜸㙦搶㌱㉦㘳户攸ㄸ搳搴敤㠸〹ㄲㅦ愳㌲挹㉢㐰㘷㈴ㄹ㕤㐰㍣摥㍢㈰㠰㥦换攰晣摢攰㙣摢攰〴摢㝢愷收敦㐵搹挵㤴㌸ㄹ㐴摤〵扥㈰戱て搵㤳挳扦㝢挰ㄵ㈴㍥戰㈳㤱㍣慦摥㜳㐴㘲ㄳ㌲〹ㄲ晢㐳ㄵ㤰戸ㄷ㜱ㅥ摥捤㍡㜰㥦づ摣㙦〵搴㠳〸㠸㍤敦搸敤改挱㍡昶〴昱㜸ㅦ㠲〰㠵搳捦慢㠷㌵晦㐰捡㉥愱挴㤹㈰敡ㄱ昰挵㥥扥攰㈷敤㜹っ㕣戱攷ㅦ㡥昶扣散㘸て㌷㐹挵㥥㐳愰ち昶㍣㡥㌸て敦ㄳ㍡昰愴づ㍣㘵〵搴㌳〸㠸㍤㉦摡敤ㄹ挰㍡晡㐰㍣摥㘷㈱㐰攱㜴㝢晥愶昹㈱捡㥥㑢㠹㜳㔸搶㜳ㄴ㘶攰㜹ㅤ昸扢づ扣愰〳㉦㈲挰晢〳㜷ㄸ㜹扤㔸㑡㐹㜹㡡挴㕤〲㙥㠷㜲昳㠱㑦㔹㜶㘹㤴㐵〹昷㐰昲㘵㈹愶㘱㐸㔵㔵〳摥㤹摣㕣㈹昷㈰㈴戶㉢㌷㕦昱挴㠹扡昷㈵慢㤰㝣扡〹慦㘲㘹愵㄰㤹㜲搰㌱扦挷㘷㐵㡥攳㘷㠹搷慥㌸愸挷㔴㉣㝡て㠶㕥昹㈸㘰㝥扥㌴攰㉢㈸㔹㥡㜴㈸ㄲ㤲㑤晡㑦㜰愵㐹ㅦ戴㌵愹㝢ㄸ㐴戲㑦㘰ㅦ㜰㙣攷㔷愱㐹摡㜹〴㌲愳㥤㕦㐳㥣㠷昷㜵ㅤ㜸㐳〷摥戴〲敡㙤〴愴㥤敦戳户昳㈸搶㝣㌴㠸挷晢づ〴㈸散ㅥ㠳愸挳㍣㜴㉣搸愹昳搰㜱攰愴捦㐳摦戵戴ㄸ攳㤱㈸㥦㈶㤴㡦ㄴ慡昷挱ㄷ㐸㈶㠱捦〰㡢㔲㑤愰〲挹敤㌶㐸㡣攴搵攳㔶㐷敢户㈱㤳㔸㍦つ慡㘰晤㜶㑢戵㝢㍡攲收昸ㄵ㠸〵挳㔱㝣㈹搸㕦ㄲ挵搷㘵昱つ敡㜸㐵㘵㍣㔴㔲㔹ㅣ愹挰㈲㐲㐹搰扢挳捡㘳捣㐰ㅥ敦㑥ㅤ㍢㠲戱て㜵㡣㘹敡㈳挴〴户敢敤戸ㅤ㡤㈴攳ㄸ㄰㡦昷㘳〸攰㤷㌱㉦昸㐴昳换㈹扢㤶ㄲ㔷搲收捦挰攷㕤戴㐷慤㠵㐶摥攵㌱户挷愸愴㌶摣慤㝤㡥愸㈰㔵〵㠶㍥搴ㄷ㡥摣㉦挱ㅤ㠲㍦㈳〶㔹昵戵愳捣户㥡㍢㡢㌲㔰㠸㌸㔶㈰㐱〵昹换㙣挸扢慢㈱㤲扤㌳㕥攲搸ㅣ㍦㐰㤳㌴挷ㅣ㘴㐶㜳晣㐸晤㌸扣㍦改挰捦㍡㈰㤶㈲愹㠰ㄹ晥㌷㜷㔳ち㥡㔹㕣昳挰㘰慥㘷收㘸㝥㍤㙡㘹㕣㐳㠹つ㈰㉡ㄷ㝣㐱扢挱㡥㡥ㅢ㕣㐱㘷愵つㅤ㈳㜹㕤㕤攱〸㐴㕢㘴挲捦㘵捣㌷㠱挸户㔴扢ㄷ㈰㙥昶㑢㝣㉦㌰㠲挹㡣て㥦㍢㡦㠵㉡〳㈵ㄵ晣昸㝡㈴㄰㠹ㄴ挷㘳㠱㐸愰挴㙢㔸㜹㡣㠵挸攳攵㙥愵㔴㙥ㄱ㘳敤㜴㡣㘹㡡㕢㤲搲㉦捦㐲㘵㤲搷搵挵㐸㌲㑥〱昱㜸ぢ㈰㈰㐸愴㕤㔷扤㐹㍥㘵㙦㘶㠵㙦㈲ㄲ扢㘹昵㑢愹㥥ㅣ晥㜱㥦㔱㤰㌸搹ㄱ㠹㐵㡥㐸㜰户ㄱ㍦扣㔶ㅢ慡搰㈵昶戰㔴扢捦㐱摣㐴㈲ㄴ昷昹挲扥ち㝣攳户〲㜳㌶摣㤳㐴〲愱㌰扥㐸ㅦ〸㔴ㄵ攱㠳昰㐵摥㍤慤㍣挶戹挸攳攵搶愳㈰戱㠲戱扤㜵㡣㘹㡡晢㡢㠲㐴愳ㅤ㠹昳㤱㘴慣〲昱㜸戹挵攸㠴㐴㌷捤扦㤸戲ㅢ㔹㘱扥戹换扢㍦昸㍣扣摤㜵愰㠷づ昴搴〱敥㈹昲ち㘶昰ち㘶昰㠲㈵晤捣攰㈵捡搶昷㜸㔱昲昶戲㘴攵㐲挴㔷㘳戹搷㠲晤晢㕦㠸㡡㡤㜵㉣㥤㙦摢㌲㉦㐴摥摥扡扡〷敡挰㐱㍡搰㐷〷晡㈲搰㕡㑢戸挳㐹㔹戱攴㐱㕡㜲攳晦挴㤲㈲攳㈶㕡昲㔰搲ㄲ搵ㅦ㈵㑢〷戸〵〹っ戰㐱ㄵ户㐰愵㜷㑥㜵散㥤㤳ㅤ㝢攷〰㘴挲て慦〴㠷㉡昴㑥㥦愵摡㝤㈷攲㘶敦昴㔵㐵昱愵改㡡慡㐸㌴攴ぢ㐵㡢愳ㄵ挵戱㜰㘵愴戸ち㥦㜵てㄷ昹〳㘱慦散㤱㔲挷㐶攴昱〶㉣つ挶㕤㡣挹昶愸㑥㔳挵㐸㤳摥㌹搶摥㍢㌷㐱搰戸ㄷ挴攳つ㐳挰愹㜷㜲㐳㔴昸て㔰昶㜱㉡摣ち攲㡤㠰㡦ㅦ搰〱扦㐳㥢㍣敥敥ㅤ捡ㄷ挴㌴攲攵㍢㌱散㈷搶捤㉡戴慤挸摡㌶愹晡攱㌹慣㤴㉦㘴づ挷ㄷ㉦改㐷攲㙡㠳㜷㡡㤸㙦攲挸捤ㄹ昸摢㜴㜱捡挵㍤㕤晥攵つ㠱慤晦㠵ㅥ戶㙦昳㠲㈶㌵敥㡦㍦攳㉦㌰㌸慦ㄴ收㍡㍥攷㘵㙥摢㑤挵换㔴㘲戰㍦㕣㘸晦㌴㈳㔷敤㜶慦ㅤ摤㠸敤㍢㝣昰㘳㕡晤㄰㜹搲㡢扢挳㥤昴戶㕥㍦晤攱挶摥捤ㅣ晤ㄸ愵捥㌶戱㈱㤹てㅦ㐲挴㘶㉣ㄲ晡昱㌳㡦扢㌷挷㙣㙦㌲搹愷㤹㡢愷㘷昱攸㔸慣㑡㙢㙣挴ぢ㍤㜲㜳摡㘴㝣㌹㐳ㅡ㙥㔸㝤㉤扥㠳㔴挸㔷㤷㔰ㅢ㍥㑡㍡扡㡡〰散攳昰ㅥ㤷愱搵〹㜹てㄲㅤ戰㤴㜱㌸挰㜱㍦ち㤸摣㠳㝡つ敢ㄵ昲攷つ㐲㐳愴㍦搳㤴戵㡣㔴搸㔹㈲晢㥦挷搸ち㠵㙡㌰㔴㔳ㅢ㔹〵摣㍥〵㌳㝤㌵㔴扦扢捥㌵ㄸ㘹㌸昲〷换㝦㉥敦攰㠲㘱㍡挷㜱慡挷㐵㐳昲摥㌹㉤晤㈵㤶敤昶㜹㘰攵捡㑥㌷㤷㥥㕣扥昸昳て㝦扣戰㔴㡤㐲㡥摥挸㥦晥㌹扢ㄲ㔴攲㜵㝣㤳㈳攳㝢㝥㘱㉢㈱晤㝢㝥摥戱搰㠴ㅦ摥㙥㡦㍡㜷㘸愳㈶㈲挲戳㐶ㄵ㈱〷扢慡昴慥㘷㤱㔸挰㥤搱ㄶつ㍢戹换㙤㈳摦㍤改㥡㔲㜱ㅡ摢晥㐹㘹挱ㄴ㥤㈳㥢㘱摦㍤㜸㕢攰戲㘵㔳㑡㥦昵㥤昸捣愳扤ㅥ㉥㔵㌳㤰挳挹㌰㥦㔵晦っ挳〶㔸〹改摦改昳ㅥ〵㑤昸挱晢搳㌴㡣ㅢ愹㘲搸㈱㜶挳㕥愶㘱攵㐸㙡搱戰㜵㠷昵㝦昹㡡㙤愷㤴㍥昲昴晡攱㥢扥㠰㘱㌳㜵㡥㙣㠶ㅤ慥㠶㥤晦攷ぢ㝡㤴㉥敢㌲㙢㘰㝤搹㍢愵慡ち㌹㥣っ敢㤳捤戰㠳慣㠴昴敦敦㜹㘷㐱ㄳ㝥㔸㝡㌳つ㥢㠳㠸ㄸ搶摢㙥搸㥢㌴㡣摢愲㉤ㅡ㘶戶搸搲搲㝥换昷㜸敤戹㙦㘰ㄸ昷㔰㈵㐷㌶挳㍥晣挷㤵㕦㜵戹㉡㔱㝡攸敥搳捥改戵收捥㔲搵㠰ㅣ扤ㅤ扡㘲昷㙣㠶敤㙦㈵愴㝦㔷捦换㉤㔵晣㕣挶㝢愸〱扡攲㈲㐴挴戰晤散㠶㝤㠰㐴挵摤㑢づ㜶捡㌸〹搴扤つ㍣㥣搵挳㝢〵㝤㜹㝢㐳搸昱㤵㠳搶挸㠱て㘸敡愱㘷㜸摤㍣㍥っ㘸ㅢ㑥搹搹㜹㜸㡣ㅤ㉣㠶㕢愶搴㐷㔶挱㘹㠸㠰㤹晤扣ㅥ昵敥㐹㌸〱ㅥ㈹㥤昵捡昶ㄳ晡㝤つ㌰㑦搷㌹戲㠱㌹攳㤳慡㥦昶ち捤㉣㕤昰挱㉦捦㝤昰搴㍦㑢搵㔲攴攸㡤㌲搲捦敢㉥ㄶ㘶ㄹ摤扦戳㤵㤰晥㙤㍥敦㜲㘸挲てㅦ㍦㐰㥤〱收ち㐴〴捣㑥挸㤱㍣慦㍦㐵㘲〱㜷㍣㕢㌴㉣㜲昷㔳昳ㅦ㕡㜷㔳昳㜹捤敤㔱挹㤱捤戰㌱㥢㕦㍣㈵愷晢昸搲搵㝦昲㉣㌹攳愵攷㑢搵㐵挸搱摢挱戰昶搹っ㙢㘷㈵愴㝦㜳㑦㕤〲㑤㙣㌴攳㙢搴㠰〳㉥晦扣㤷㠲换㐳挹搶ㄹ〲㠶收昰ㄲ敥扤〲挹㤴㌰扥㐵㈶愰戱ㄶㄱ㐱愳慤ㅤ㡤敦㤱愸戸㐷搴㕣搳㌸㡡㌲摦㝡㥡㤳慤愶捡㑡㐸晦ㅥ㤱㤷扢㑡㔲㈸扢っち扤㔱ㄷ晡换㜷戶㈶挸㐱㘲挱捤㐸㐲攱搹晢㔶摦㘳㔷㍤晡㔵㥦㉤捤㝤敢ㄶ㥤㈳㕢ㄳ㝣㜸扤㝢摢愸㠵愷㤴㥥搲攵扣㤹ぢ㍦㐷摦扡〳㌹㥡つ晢ㄷ搱㜸ぢ㐴㝤㡦摡扣敥㜴捤昸捥㑡㐸晦捥㤰㤷摢㑢昸攱㜳ㄱ愶㘱昷㈲㈲㘸㝥㘳㌷捣㐳挳敥㐳㔲㡢㠶㤹㈳捦㠶搲ㄹㅤて搹㜸攵㈷㌸㘹敥搷㌹戲ㄹ戶攵敡搱㥤㕦晦愰戴昴摡昳㌷ㅥ摡晢敡户㑢搵㐳挸攱㘴搸攷搹っ晢捣㑡㐸晦㝥㤰昷ㄱ㘸挲てづ慢愶㘱摣㉣ㄲ挳㍥戱ㅢ戶ㅢㄲ搵㤳㐸㌲㐷㈰敥㈰戹扢㠰㠷ㄱ㘸㙣慦㘰㐴晤ㅢ挲㝡搴昰ㄸ㝢㔰晡㈹挸㘸㔶挱㌳㠸戴㠸挹㝦㈶㙦敥㜶搶扦搷㌷㕦㙥㥥搵㌹戲㘱㜲攲昸扤〷㕣㜳昷搲搲㉦㍢敥昹搹收㜶ㅢ㑢ㄵ昷㡦㥣㌰搹㤶つ㤳㈶㉢㈱晤㙢㐲㕥敥㌸攱攷㌲昶㌵㌱昹㈷㈲㠲挹晢㜶㑣扡㈱戱攰㌵㈴晤㍡挳㕥搷㌹戲ㄹ戶㙦晥改㉦㍦昰攱〹愵㙤㡦㝦㜹昲愶㈱㌷㤴慡户㤰挳挹戰户戲ㄹ昶㉦㉢㈱晤㉢㐱摥㜷愱〹㍦㜸扦㥡㠶㜱晦㐸っ㝢挳㙥搸㠱㌴㙣㍢㤲㕡㌴散挷ㅢ㍦㝢㜱㝣挵〵愵㑢晥挲ㄹ〲㝡昱づ㥤㈳㥢㘱㔳慦敡戳愴攳㘷攱搲㍤敥扥户㙡昴搳㜷㤴慡晦㈰㠷㤳㘱晦挸㘶搸㉢㔶㐲晡搷㝦扣㥦㐰ㄳ㝥㉥愳扦㘹ㄸ㌷㤲挴戰㤷散㠶ㄵ㈲㔱㝤㠳㈴戳ㄷ㜳㜷挹敤〳て扤㜸㝣慦㘰㤱㝡ㅥ挲扡换㝡㡣〰愵戹攵㘳㑡㜳㠳挹ㅤ㑡㑡㠷搵㌳㤰收っ㤸愳慤挷㈸愶昴㜷㐹改慦㈹㕤㘲㑡㑦攸ㄵっ慢㈷㉤㘹㜳ち㍤㤰搲摦㐳㐶㑦愱ㄵ昷㤰戴㌶挵扤㈴㕤㤱〲㠵㘶㘸戱㈵㔰㍥づ摢攴㍡㐷攷挸搶ㄲ㘶づ敦攰愳〶㌴㍤晣攲㠶㉦㑡ㄵ㜷㤷㝡㠳㥢㝥ㄱ㝥ㄴ戵㜶ㅣ㈸ㅦ戱ㄲ搲扦㐰攴㌵愰〹戵㜷ㄹ㠳㘱㈲慥〰摣㔴㤲㤶㜸ㄸ㌹㤲ㄷ攱愱戴扦〰㐹㈶戶摣㘹㜲て㌳搱ㅡ摥㉢㔰愴ㅥ㠰戰〶〰㕦戶愵戴ㄷ㌲㥡㔵挰晤㈲晣戲㕦㍣㌲㝡㈷㌷㤷㈴㐷㌶㑣㉥㑤敦㥤㝢㐱扣户〳㈶㥢戲㘱㜲㡦㤵戰㝣搶捣攵㝢㙤扤扥散㥣㌷摥扢愸㜱㜳㘲㤹㤷㍢㔳㠲挹㌸ㄳㄳ㙥㉦〹㈶㜷搹㌱㤹㠰挴㠲ㅥ㐸挲㉦扢㘱㔳㌸㑥㑥摥摣㝣昱攸愹㜳㘴㌳散㤸㍢ㅥㅦ搷昴㜶敦㔲攳戱攳敦晡散攳㥢㑢ㄵ㌷㥣㝡㍢ㄸ㜶㕢㌶挳㙥戵ㄲ搲㍦㌶攴敤ぢ㑤㘲搸㌴搳㌰敥㌳㠹㘱㌷摢つ㥢㐱挳〶㈰〹扦散㠶㌵捥扥昰愳挵愵昷㌴㕦敥㝤㍡㐷㌶挳㕥扤㜸㕡晢㈳㐷〵㑡㍦㍥㝣晤挲㉦㡥㝦慤㔴㜱攷愹户㠳㘱搷㘵㌳散㕡㉢㈱晤㈳㐲㙡㜰㡡愶挳㜰㡡㥢ㄳ㠷昵搹㌴㕤㘵㈵愴㝦㈵挴㍢ㄴ㥡〴愲愸〹ㄱ户㘸〴愲戵挸㤱㍣ㅦ㉡〹ㄱ㌷㕦昰换づ搱昷愷㥥戰㈵㜱昱㤱捤㄰㡤搶㌹戲㐱㜴捦摡㕥㙦㉥㍤昶挸搲㍢扢㥣扡㜹昸愳㙦㤴㉡㙥挳昴㜶㠰攸昲㙣㠶㕤㘶㈵愴㝦晤挳㍢〹㥡挴戰㙡搳㌰敥扥㠸㘱㤷搸つ㥢㠳㐴挵㡤ㄳ昳㐴攷㤶㡣扢ㄶ㍣㜳挸㡤愸㡢㈰慣捦㙡㝣㉡㡥搲摣㜴搱慣〲㙥慣攰㤷ㅤ㤳㡣㠹〳㜷㘱㈴㐷㌶㑣㜶㉥㉡㝦摣㜸攱昸搲挵扤㑥㌹㝣㔲晤㡤愵㡡ㅢ㌲扤ㅤ㌰㔹㤹つ㤳昳慣㠴㡣㙦㠱㜰捦㐶㈶敡昳㘰㐸㜲愲慥㌷㙥㤴散捡戰㈰捤㈱㝥㕥敥挳〸㤰ぢ㤰〹㈳㈶昷㑤〴挸戳敤㐰㉥㈲㌴昵㐸敡㥤慣㘹昳㐴㝤㐹戶㥡㥥㘹㈵愴㝦㤸挳换敤つ㈹昴㌴戳㔰敥㔱㐸愱愷摢ぢ㍤㠳㠵㜲㝢挱㙣㍤㙥㕣戸㤷㠰㘷摥㜸㐶搴㘲〸敢愶昲ㄸ㘷㔱㥡㕢ㄳ㥡㔵挰敤〷晣戲户㕥挶㘸挶扤ち挹㤱慤昵捥扥㍤㙤㌴㍢〳攲扤㤳㤸㌴捦昱ㄷ㘴挳㘴扥㤵㤰晥㤹づ敦㔲㘸ㄲ㑣㔶㤸㤸㜰户㐲㌰㐹搸㌱㔹㐹㉢戹搱㘰㘲㜲づ㐲敥㔵ㅡㄳ㕣扡收愶㘰㜲㈱愵戹㐹㤱挴㠴ㅢㄱ昸㘵挷㈴攳搲戵㑡攷挸㠶㐹挶愵㡢ㅢㄸ扤ㅤ㌰㤹㤳つ㤳ㄳ慣㠴㡣㉦㜷㜰〷愱㔹㔳昳㐰ㄸ捦愶㈹㘶㈵㘴㝣㄰㠳㉢昸㑥㥡愲搹㌴捤戴ㄲ搲扦㌳攱攵㤲扦戴搳㝡戳㥤敥㐰㕣摡改㜸攴㐸づ愹ㅢ㠸㍣㤷攳捤㜶攲㘲扥晢㕡摤㑥㤸散ㅤつ㘱摤㈸ㅥ攳㝡㑡㜳戹㕥戳ち戸㈴㡦㕦昶㜶捡戸㍦攵晡扤攴挸搶㑥愳㙦㌰敦㑦㑦搲昷愷㕣捡敦敤搰㑥搳戳㘱㌲捤㑡挸昸敡〴ㄷ晦ㅤ㤷㠰攴ㄵ㥥㠵昲愲㑤㍥㕣ㄴ㙢ㄴ㐶〱ち捤㡢㜳挱扢㕤摣㘴㜳扤㕥摥收㔸㈳捦ㄲ戵挷㑢攲ㅢ收挴ㅡ挶攱㕢〸㜸㌵晣搴敡㕡敢㌱ㄸ㝣㈳㠱㙦戹搲慦㈱㌷㈴挶捣敥昸挴〶扣㤷扣㙤㝣㜴㈳扣㌷慡昲㙢㈷㐵ㄳ㠹㔸㐳摤ㅦ挱愱ㅢ㑦㜷昱㥤ㄱ㌸捣㜷挷㍢㍥㔸昵㌴㤲ㅤ搷挶㑤〸㥢昱搰敦慣换攱扢攵㝦㥢㍢户晢㔶昴㌷晤攰㕦㤵敤㙢〹戹㙡ち㥡搸㜴搲㍡摤㈵慢㜰㜸挶ㄸ摦慣㘵捦扤〳愴つㄶ昳攴ㅡ〳攲㌱敥〴㐷ㅥ㘹㌶㥦愹捥晢ぢ扡㐱扡㜱㝣搴㡤て摤扢昲ㄶ㔴㔷㈵㘶扢㘷挷慡㘷捤㑥挰㌹愶ㅤ㉤搶㐷敥㔶㘴㙤㘹㐷㠱㤷戳戶戵攵搱㠶㠶攸愲晣摡昲㥡㔸摤慣挴散晣昲昹搸㐰挱㐶ㄳ㜶〱昱ㄹ㙦攳㉥搴㠷㐵昱㑦㜱㜹㥤晤搲㝤㌷戸捥挶㡥㜵㌴㜶ㄳ攴摤昷㠲愴ㅡ扢ㄹㅣ㥢戱㡡㉢昴㌴㔸ㅦ㡡换摥㔲攰晤㔹ぢㅣ敥㔸攰ㄶ㙡㈶扡捤挸㍥㤴㔶ㄸ㔷捤㔳ち攳㔲戴ㄴ昶㤷慣㠵㤵㍡ㄶ昶㈸攴摤㡦㠱愴㕡户㌵慤㐰慥㘶愷ㄴ挸㈵㘲㈹昰㠹慣〵㐶ㅣぢ㝣㡡〵晥㌵愳挰愷搳ち晣㈰扤㐰慥〷戳㔷ㄸ捦㐲㌲搹慡㕣㕣㤵㙡晣つ㕣攷㔶つ㌸㔶攳㜹㤶挷㔶㙤〶昹〵戲昸㍡〶戳晢慡㑦搳慡攰攵㠲愷っ昵㉦㔱昲㘵㤲㔷㐰㍣㡡㡢㥡㔲㡢㝦㈰㕡㠰㉤户㔸㈵摥挷搸㝤㍥㜷攱ㅡ㜳㔴㕦㕤㠳㝦〷昶㙥㍥㠹㕥㘵㝥捥㥡ㄴ慤㤱ㄳ攸㜵戲㙣㌵攰㝡㈸㔱㥦㜶昹晤㠳㝦ちㅥ㠷昷㍤㐳㐰ち㝡ㄳ〱㘷㜳て搰㠵戹散㘷散㕢搴㥣摡愷摥㐹㉢㡣敢愰㈹㑤捣挵㐵㈹散㍤〴㥣ぢ摢捦戱戰て愸㌹戵戰㙤㘴搹㉣攳摡㘴㑡㘱㕥㌰愴戰ㅤ〸㌸ㄷ戶愷㘳㘱ㅦ㐲摥晤㙦㤰搴づ晣ㅦ㜰散〵㜲捤㌰愵挰㍤挰㤰晥昴㌱〲挹晥挴㌵㌶愹挶㈷〸㌸㔷挳敢㔸㡤捦㈰㙦戰ㅡ捤晤改ぢ戲㙣㌶㜳㠹㉥愵ち㕣昷㤲挲扥㐲挰戹㌰㡦㘳㘱摦㐰摥晤㉤㐸慡捤摦㠱㘳㉦㤰㑢㘷㈹〵㜲㍤㑡ち晣〱〱攷〲㜳ㅤぢ晣㠹㥡㔳慤晢㠵㉣㥢㜵㕣捥㑡㈹㡣㉢㔶〲戰挲㜰㥣〴戸㔸㜳㜳散㕣慥㐰㠹㙣ㅢ㍢㜷㌰戸㔲摤㕣㜰㥤慢晢挳户㑥搷㈷㌷攴つ㡥㌱捤㡤㤱㑦㤶慤扡㕣昳㐹愹㉥㤷㜵愴ちㅥ㝢ㄵ戸㐶㈲㔵㘸㤷戵ち㕦㍡㔶愱〳换㑢㍤〷ち搲慡挰㈵㤶㤴㉡㜰摤㐲ち敢㤴戵戰㡦ㅤぢ敢㥣㔹搸敥㘹㠵捤㐸㉦㡣㉢〰㔲搸㥥㔹ぢ摢攱㔸搸摥㤹㠵敤㤳㔶ㄸㄷ㄰㔲㉣攳㕤戹ㄴ戶㕦搶挲摥㜳㉣㙣㝦㙡㑥敤㜸㍤搲ち㥢㤳㕥㔸㍤ㄸ搲㤲〷㐰㔲㜷㍣㉦㙦㠲㘵昰敥挵晣扤㐹づ〴挱ぢ㌹慤扡ㄹㅣ扣㜳搴慢扡ㅥ㈹㠳㜵㕦捡愷づ搶晤挸戲昵㈸摥ㄳ搳攸攴㘰捤㥢㔹㌱晡㄰㐸㍡㜷摦ㄷ㜵㘱㈹㠳昵〰㙡㑥敤扥晥戴挲㜸㉦㥣㠲㌰㙦㜷挵攸㈰㈴戵搱㙡㠵慥㐲㈸㙢ㄵ㥥㜱慣㐲㜱㘶ㄵ㑡搲慡挰㕢捦㤴㉡昰敥㔲慡㌰搰㕥〵摥ㄶ〹ち㠷㘶慤挲㔶挷㉡っ捡慣㐲㘹㕡ㄵ㜸㔷㤵㔲〵摥㌸㐹ㄵ㠶搸慡㤰挷改㙡慢攷搲㕣㌱昹㡤㑦つづ㐵愱㡡㤳㘰㔹㜵㈹㘳捣ㅡ㠲ち㌸ㄵ㘵㈴㥦ㄳ㔷戵〹㌱㔶捡ㄸ㐶ㄹ捥㈴㈵挷㜰㕢づ挵㔹愰挸㡣㈰㤷ㄳ㐰㤱ㄹ㘹㤷攱攴㑤㘴㐶㤱换㌹㥢挸㡣戶换㜰扥㈵㌲㘳挸攵㌴㑢㘴挶摡㘴ち㌸愵㈲搷慣摤昳㍡挷㌸捡㜰㔶㈴㌹挶摢㜲㈸捥㠰攴㉥㜷㈳摡㡥㜷戹㠷㌱㝢㡥㕢㜱㔶㈴〹㜷㕡〹㠳㈴㐱㈹捥㤴㈴攱づ㉢愱ㄴ〹挶㘴㉡攵㑣㐸慡㌸㠵㌱㑥㠲愴挰愹昶〲㌹㠱ㄱ㤹㘹攴扥愳㘵愶摢㘵㌸敦㄰㤹ㄹ攴㜲捡㈱㝡㡥戰换㜰扡㈰㌲㐷㤲换㔹㠲挸ㅣ㘵㤳㈹攰㡣㠰㕣ㄳづ㕥搹㈵挷搱㤴攱㐵㕤㜲ㅣ㘳换愱㜸㐱ㄶ㤹㘳挹攵㜵㔸㘴㡥戳换昰ㅡ㉡㌲挷㤳换换愷挸㤴摢㘴ち㜸愹㑣㤶㕣挰㑢㘴㜳㡣㤷挶㘴㑣昱ㄲ㈷摡㘶㤲捤慢㥢㘸㡢㕡〱㐶ち㜸㈵㙢捥挱㉢㤲攴愸㈰㥢ㄷ㈳挹㔱㘹〵ㄸ㔱扣㤰㠸㑣ㄵ戹扣㠶㠸㑣捣㉥挳昱㕦㘴攲攴㜲攸ㄷ㤹㔹㜶ㄹづ摢㈲㌳㥢㕣㡥搸㈲㔳㙤㤳㈹攰攸㑣慥㠹㌲㐷㘵改ㅥ㤷愴㜵㈸㡥搴㤲戰㍡慤㐳㜱昴㤶㠴㍦搹㍢㔴㉤戵㜲戴㤶攲㜹㈷愸㌸㔰㑢昱昵〸㈴㠷㐶づ戲㈲㌳㤷挹ㅣ㕦㐵收㐴㉢挰㐸〱挷搲收㉡㜲㑣㤴ㅣつ㘴㜳㌸㤴ㅣ㡤㔶㐰㜲㜰攸㙢捥挱㈱㑣㜲昰扤摢㡡愳㤷攴㤸㘷〵㈴〷㐷慡收ㅣ㌲㠴愰㘸㘳㍥搸晡昰㜲㈸㤱㙢搷〲〴戰㈸㉢挳〶愵慡㜰扤搱㠷㤷挳㠷㐸㉤㌲愵㘴攰愰㔴㡡㉥づ㈰㈲㜵戲㈹㈵㐳〷愵ㄶ㈳慥て㉦㠷㄰㤱㍡挵㤴㤲挱㠳㔲愷摡愵㌸㠸㠸搴㘹愶㤴っㄸ㤴㑡㈹㤱〳㠷㐸㥤㈱㔲〵㍣攷㡦㠰㔴捥㐲㔵㌹戳㙡收捣㙦ぢ㜲扢㜷捤㍤㜲㜰晢换摦㜹晡扤㡢㕥㍥㜶搰昶ㅦ搷慣㜹昹㠳㡢㥥晤㜱㑢挵愰㈷慦扥㝡敢㤸㜵捦扥户㕢晣慡㥣㑤摦㡥扢㙡戱㝦捥攲ㄳ攳搳てㅥ戹昸愸ㄳ㈶晢㈷㜵敡搷愶㑤摢戶〷㜵㝥㙡慦㍥摥搳㑦摣慣ㅥ㜹㙤捦㍡㈵挳〸慢愱㕤㔰㄰㜶㜹㌹㥣㐸㌵㤶㐸㌵㤴っ㈴㤴㕡㡡戸㍥扣ㅣ㔰㐴敡㉣㔳㙡〶晥㤳㐶㑢㌱㠹㐳㡡㐸㉤㌷愵㘴㌰愱慥ㄴ㄰㌹愸㠸搴㌹愶㤴っ㈰ㄹ㔲ㅣ㐸㐴㙡㠵㈹㈵㐳〸愵㔲㑡攴㔰㈲㔲㉢㑤㈹ㄹ㐴㌲㜴㜱㌰ㄱ愹㔵愶㤴っづㄹ扡㌸㐸㠸搴㠵愶㤴っ〸㤴㑡㐱愲㔲㑢㕤㙣㑡㔵攱扦㑣㈴㌸㌴㠸慥搵愶㤴っちㄹ㈵㜲㜰㄰愹㑢㑤㈹ㄹㄶ㌲㙡捦攱㐱愴㉥ㄷ愹〲㥥换晦搳㡥㈲挳〳慢㜱〵㑡攲挱搲扤ㅣ㈶愴ㅡ㝦㐶挰㔸〳搲㈱㐷挹㈸㠱搴搴ㄳ㠰愳㠵㠸慥愵㔴ㅢ㈵㈳〳愵㔲摡㡥㈳㠴㐸㕤㘵㑡挹㘸㤰愱㡢愳㠲㐸㕤㉤㔲㕥慤㐲昱愴㤷㠱敥㌸㙢愰ㅢ㡡扣㜸㤶㑢昱㍣㤷㠴㘳搳ㄲ㜸㙡㑢挲㌱愹〹㕥摤㍤ㄵ㑦㙢㤱㌸㍡㑤㐲㥦摦㡡愷戴㐸ㅣ㤵㉡愱㜸ㄶ㑢挲㤱㘹〹㍣慦㈴攱㠸搴〴慦敥㔶㡡攷㤴㐸捣㐸㤵㔰㍣㡤㈴㘱㝡㕡〲捦ㅣ㐹㤸㤶㤶挰㤳㐵ㄲ愶愶㈵昰晣㤰㠴㈹㘹〹㍣㈵㈴㘱㜲㕡〲捦〲㐹㤸㤴㤶挰㡥㉦〹ㄳ搳ㄲ搸搷㈵㘱㐲㕡〲扢户㈴㡣㑦㑢㘰㡦㤶㠴㜱愹〹㕥昶㍣戶㝡㠷㕣挵敥㈶㌲㘳㔳㘵ㄴ扢愰㈴㡣戱ㄲ扣散㍣昷㠲慢搸敦㈴㘹㔴㕡ㅥ㜶㌵㐹ㄸ㤹㤶挰摥㈵〹㈳搲ㄲ愸㑦㉥㔶て㈰愰㠴戰ㄸ晢㈵愶摤晦〷㑥㝡攷㑥</t>
    <phoneticPr fontId="4" type="noConversion"/>
  </si>
  <si>
    <t>技术复杂度</t>
    <phoneticPr fontId="5" type="noConversion"/>
  </si>
  <si>
    <t>编码及单元测试阶段</t>
    <phoneticPr fontId="5" type="noConversion"/>
  </si>
  <si>
    <t>测试阶段</t>
    <phoneticPr fontId="5" type="noConversion"/>
  </si>
  <si>
    <t>验收阶段</t>
    <phoneticPr fontId="5" type="noConversion"/>
  </si>
  <si>
    <t>实际</t>
    <phoneticPr fontId="5" type="noConversion"/>
  </si>
  <si>
    <t>计划</t>
    <phoneticPr fontId="5" type="noConversion"/>
  </si>
  <si>
    <t>实际</t>
    <phoneticPr fontId="5" type="noConversion"/>
  </si>
  <si>
    <t>工程活动</t>
    <phoneticPr fontId="5" type="noConversion"/>
  </si>
  <si>
    <t>需求阶段</t>
    <phoneticPr fontId="5" type="noConversion"/>
  </si>
  <si>
    <t>项目管理活动</t>
    <phoneticPr fontId="5" type="noConversion"/>
  </si>
  <si>
    <t>编码及单元测试阶段</t>
    <phoneticPr fontId="5" type="noConversion"/>
  </si>
  <si>
    <t>所有活动各阶段统计值</t>
    <phoneticPr fontId="5" type="noConversion"/>
  </si>
  <si>
    <t>当前SFP</t>
    <phoneticPr fontId="5" type="noConversion"/>
  </si>
  <si>
    <t>测试阶段</t>
    <phoneticPr fontId="5" type="noConversion"/>
  </si>
  <si>
    <t>阶段资源投入率</t>
    <phoneticPr fontId="5" type="noConversion"/>
  </si>
  <si>
    <t>项目工作量偏差率</t>
    <phoneticPr fontId="5" type="noConversion"/>
  </si>
  <si>
    <t>验收阶段</t>
    <phoneticPr fontId="5" type="noConversion"/>
  </si>
  <si>
    <t>各阶段工程活动工作量比例</t>
    <phoneticPr fontId="5" type="noConversion"/>
  </si>
  <si>
    <t>需求阶段</t>
    <phoneticPr fontId="5" type="noConversion"/>
  </si>
  <si>
    <t>度量定义</t>
    <phoneticPr fontId="5" type="noConversion"/>
  </si>
  <si>
    <t>测试阶段</t>
    <phoneticPr fontId="5" type="noConversion"/>
  </si>
  <si>
    <t>验收阶段</t>
    <phoneticPr fontId="5" type="noConversion"/>
  </si>
  <si>
    <t>阶段单位规模工作量=阶段实际工作量/当前SFP值</t>
    <phoneticPr fontId="5" type="noConversion"/>
  </si>
  <si>
    <t>目标</t>
    <phoneticPr fontId="5" type="noConversion"/>
  </si>
  <si>
    <t>UOL</t>
    <phoneticPr fontId="5" type="noConversion"/>
  </si>
  <si>
    <t>项目数据</t>
    <phoneticPr fontId="5" type="noConversion"/>
  </si>
  <si>
    <t>标准功能点规模（SFP）</t>
    <phoneticPr fontId="5" type="noConversion"/>
  </si>
  <si>
    <t>变更前的SFP</t>
    <phoneticPr fontId="5" type="noConversion"/>
  </si>
  <si>
    <r>
      <t>需求变更产生的S</t>
    </r>
    <r>
      <rPr>
        <b/>
        <sz val="10"/>
        <rFont val="宋体"/>
        <family val="3"/>
        <charset val="134"/>
      </rPr>
      <t>FP</t>
    </r>
    <r>
      <rPr>
        <b/>
        <sz val="10"/>
        <rFont val="宋体"/>
        <family val="3"/>
        <charset val="134"/>
      </rPr>
      <t>变化</t>
    </r>
    <phoneticPr fontId="5" type="noConversion"/>
  </si>
  <si>
    <t>复用的功能点（SFP）</t>
    <phoneticPr fontId="5" type="noConversion"/>
  </si>
  <si>
    <t>周次</t>
    <phoneticPr fontId="5" type="noConversion"/>
  </si>
  <si>
    <t>变更后计划开始时间</t>
    <phoneticPr fontId="5" type="noConversion"/>
  </si>
  <si>
    <t>-</t>
    <phoneticPr fontId="5" type="noConversion"/>
  </si>
  <si>
    <t>评审次数</t>
    <phoneticPr fontId="5" type="noConversion"/>
  </si>
  <si>
    <t>缺陷级别</t>
    <phoneticPr fontId="5" type="noConversion"/>
  </si>
  <si>
    <t>问题总数</t>
    <phoneticPr fontId="5" type="noConversion"/>
  </si>
  <si>
    <t>评审规模（页）</t>
    <phoneticPr fontId="5" type="noConversion"/>
  </si>
  <si>
    <t>致命缺陷</t>
    <phoneticPr fontId="5" type="noConversion"/>
  </si>
  <si>
    <t>严重缺陷</t>
    <phoneticPr fontId="5" type="noConversion"/>
  </si>
  <si>
    <t>一般缺陷</t>
    <phoneticPr fontId="5" type="noConversion"/>
  </si>
  <si>
    <t>微小缺陷</t>
    <phoneticPr fontId="5" type="noConversion"/>
  </si>
  <si>
    <t>建议缺陷</t>
    <phoneticPr fontId="5" type="noConversion"/>
  </si>
  <si>
    <t>第N次评审</t>
    <phoneticPr fontId="5" type="noConversion"/>
  </si>
  <si>
    <t>解决问题数</t>
    <phoneticPr fontId="5" type="noConversion"/>
  </si>
  <si>
    <t>遗留问题数</t>
    <phoneticPr fontId="5" type="noConversion"/>
  </si>
  <si>
    <t>合计</t>
    <phoneticPr fontId="5" type="noConversion"/>
  </si>
  <si>
    <t>评审规模（条）</t>
    <phoneticPr fontId="5" type="noConversion"/>
  </si>
  <si>
    <t>1.缺陷数据取自评审报告；</t>
    <phoneticPr fontId="5" type="noConversion"/>
  </si>
  <si>
    <t>缺陷密度
（个/页）</t>
    <phoneticPr fontId="5" type="noConversion"/>
  </si>
  <si>
    <t>缺陷密度
（个/条）</t>
    <phoneticPr fontId="5" type="noConversion"/>
  </si>
  <si>
    <t>评审规模（SFP）</t>
    <phoneticPr fontId="5" type="noConversion"/>
  </si>
  <si>
    <t>缺陷密度
（个/SFP）</t>
    <phoneticPr fontId="5" type="noConversion"/>
  </si>
  <si>
    <t>第N次走查</t>
    <phoneticPr fontId="5" type="noConversion"/>
  </si>
  <si>
    <t>2.走查形式不限；</t>
    <phoneticPr fontId="5" type="noConversion"/>
  </si>
  <si>
    <t>3.若需增加走查次数，请点击添加按钮；</t>
    <phoneticPr fontId="5" type="noConversion"/>
  </si>
  <si>
    <t>过程产出缺陷度量统计分析报告</t>
    <phoneticPr fontId="5" type="noConversion"/>
  </si>
  <si>
    <t>测试及验收缺陷度量统计分析报告</t>
    <phoneticPr fontId="5" type="noConversion"/>
  </si>
  <si>
    <t>度量一:各活动各阶段工作量</t>
    <phoneticPr fontId="5" type="noConversion"/>
  </si>
  <si>
    <t>度量三：设计评审缺陷密度</t>
    <phoneticPr fontId="5" type="noConversion"/>
  </si>
  <si>
    <t>度量二：需求规格说明书评审缺陷密度</t>
    <phoneticPr fontId="5" type="noConversion"/>
  </si>
  <si>
    <t>度量一：客户需求说明书评审缺陷密度</t>
    <phoneticPr fontId="5" type="noConversion"/>
  </si>
  <si>
    <t>度量四：测试用例评审缺陷密度</t>
    <phoneticPr fontId="5" type="noConversion"/>
  </si>
  <si>
    <t>走查次数</t>
    <phoneticPr fontId="5" type="noConversion"/>
  </si>
  <si>
    <t>度量四：代码走查缺陷密度</t>
    <phoneticPr fontId="5" type="noConversion"/>
  </si>
  <si>
    <t>度量一：测试及验收发现的缺陷:</t>
    <phoneticPr fontId="5" type="noConversion"/>
  </si>
  <si>
    <t>目的：统计软件产品标准功能点完成率，分析项目生产效率情况，计算公式为标准功能点总数除以总体工作量</t>
    <phoneticPr fontId="5" type="noConversion"/>
  </si>
  <si>
    <r>
      <t>度量单位：</t>
    </r>
    <r>
      <rPr>
        <sz val="10"/>
        <rFont val="Times New Roman"/>
        <family val="1"/>
      </rPr>
      <t>SFP</t>
    </r>
    <phoneticPr fontId="5" type="noConversion"/>
  </si>
  <si>
    <t>目的：控制过程质量
度量单位：个/产出规模</t>
    <phoneticPr fontId="5" type="noConversion"/>
  </si>
  <si>
    <t>目的：评价产品的发布前的质量</t>
    <phoneticPr fontId="5" type="noConversion"/>
  </si>
  <si>
    <t>缺陷收集节点</t>
    <phoneticPr fontId="5" type="noConversion"/>
  </si>
  <si>
    <t>验收阶段</t>
    <phoneticPr fontId="5" type="noConversion"/>
  </si>
  <si>
    <t>-</t>
    <phoneticPr fontId="4" type="noConversion"/>
  </si>
  <si>
    <t>-</t>
    <phoneticPr fontId="4" type="noConversion"/>
  </si>
  <si>
    <t>测试合计</t>
    <phoneticPr fontId="4" type="noConversion"/>
  </si>
  <si>
    <t>缺陷密度</t>
    <phoneticPr fontId="5" type="noConversion"/>
  </si>
  <si>
    <t>弱测试</t>
  </si>
  <si>
    <t>测试方式选择：</t>
    <phoneticPr fontId="5" type="noConversion"/>
  </si>
  <si>
    <t>验收方式选择：</t>
    <phoneticPr fontId="5" type="noConversion"/>
  </si>
  <si>
    <t>测试第N轮</t>
    <phoneticPr fontId="4" type="noConversion"/>
  </si>
  <si>
    <t>缺陷总数</t>
    <phoneticPr fontId="5" type="noConversion"/>
  </si>
  <si>
    <t>解决缺陷加权数</t>
  </si>
  <si>
    <t>遗留缺陷加权数</t>
  </si>
  <si>
    <t>测试缺陷加权分</t>
    <phoneticPr fontId="5" type="noConversion"/>
  </si>
  <si>
    <t>致命</t>
    <phoneticPr fontId="5" type="noConversion"/>
  </si>
  <si>
    <t>严重</t>
    <phoneticPr fontId="5" type="noConversion"/>
  </si>
  <si>
    <t>一般</t>
    <phoneticPr fontId="5" type="noConversion"/>
  </si>
  <si>
    <t>微小</t>
    <phoneticPr fontId="5" type="noConversion"/>
  </si>
  <si>
    <t>建议</t>
    <phoneticPr fontId="5" type="noConversion"/>
  </si>
  <si>
    <t>度量四：缺陷来源(引入阶段)</t>
    <phoneticPr fontId="5" type="noConversion"/>
  </si>
  <si>
    <t>度量五：缺陷位置</t>
    <phoneticPr fontId="5" type="noConversion"/>
  </si>
  <si>
    <t>主要是前端界面设计或实现的问题</t>
    <phoneticPr fontId="5" type="noConversion"/>
  </si>
  <si>
    <t>功能与需求不符、程序实现异常</t>
    <phoneticPr fontId="5" type="noConversion"/>
  </si>
  <si>
    <t>数据提取、数据源错误</t>
    <phoneticPr fontId="5" type="noConversion"/>
  </si>
  <si>
    <t>包括兼容性、安全性等</t>
    <phoneticPr fontId="5" type="noConversion"/>
  </si>
  <si>
    <t>主要是指调用第三方接口的问题</t>
    <phoneticPr fontId="5" type="noConversion"/>
  </si>
  <si>
    <t>为提高或协助测试而开发的工具</t>
    <phoneticPr fontId="5" type="noConversion"/>
  </si>
  <si>
    <t>进度偏差</t>
    <phoneticPr fontId="5" type="noConversion"/>
  </si>
  <si>
    <t>工期</t>
    <phoneticPr fontId="5" type="noConversion"/>
  </si>
  <si>
    <t>N/A</t>
    <phoneticPr fontId="5" type="noConversion"/>
  </si>
  <si>
    <t>阶段（单位）规模工作量</t>
    <phoneticPr fontId="5" type="noConversion"/>
  </si>
  <si>
    <t>需求阶段的评审缺陷密度</t>
    <phoneticPr fontId="5" type="noConversion"/>
  </si>
  <si>
    <t>原型+需求规格</t>
    <phoneticPr fontId="5" type="noConversion"/>
  </si>
  <si>
    <t>需求规格</t>
    <phoneticPr fontId="5" type="noConversion"/>
  </si>
  <si>
    <t>设计阶段</t>
    <phoneticPr fontId="5" type="noConversion"/>
  </si>
  <si>
    <t>阶段（单位）规模工期</t>
    <phoneticPr fontId="5" type="noConversion"/>
  </si>
  <si>
    <t>阶段单位规模的重叠工期（向下）</t>
    <phoneticPr fontId="5" type="noConversion"/>
  </si>
  <si>
    <t>设计阶段的评审缺陷密度</t>
    <phoneticPr fontId="5" type="noConversion"/>
  </si>
  <si>
    <t xml:space="preserve">全设计 </t>
    <phoneticPr fontId="5" type="noConversion"/>
  </si>
  <si>
    <t>核心模块设计</t>
    <phoneticPr fontId="5" type="noConversion"/>
  </si>
  <si>
    <t>简化设计</t>
    <phoneticPr fontId="5" type="noConversion"/>
  </si>
  <si>
    <t>开发阶段</t>
    <phoneticPr fontId="5" type="noConversion"/>
  </si>
  <si>
    <t>阶段（单位）规模工期</t>
    <phoneticPr fontId="5" type="noConversion"/>
  </si>
  <si>
    <t>阶段单位规模的重叠工期（向下）</t>
    <phoneticPr fontId="5" type="noConversion"/>
  </si>
  <si>
    <t>阶段（单位）规模工作量</t>
    <phoneticPr fontId="5" type="noConversion"/>
  </si>
  <si>
    <t>代码走查缺陷密度</t>
    <phoneticPr fontId="5" type="noConversion"/>
  </si>
  <si>
    <t>全走查</t>
    <phoneticPr fontId="5" type="noConversion"/>
  </si>
  <si>
    <t>核心代码走查</t>
    <phoneticPr fontId="5" type="noConversion"/>
  </si>
  <si>
    <t>未走查</t>
    <phoneticPr fontId="5" type="noConversion"/>
  </si>
  <si>
    <t>测试阶段</t>
    <phoneticPr fontId="5" type="noConversion"/>
  </si>
  <si>
    <t>阶段进度偏差</t>
    <phoneticPr fontId="5" type="noConversion"/>
  </si>
  <si>
    <t>测试用例覆盖密度</t>
    <phoneticPr fontId="5" type="noConversion"/>
  </si>
  <si>
    <t>实际测试执行轮次（加权）</t>
    <phoneticPr fontId="5" type="noConversion"/>
  </si>
  <si>
    <t>测试加权的缺陷密度</t>
    <phoneticPr fontId="5" type="noConversion"/>
  </si>
  <si>
    <t>强测试</t>
    <phoneticPr fontId="5" type="noConversion"/>
  </si>
  <si>
    <t>弱测试</t>
    <phoneticPr fontId="5" type="noConversion"/>
  </si>
  <si>
    <t>验收阶段</t>
    <phoneticPr fontId="5" type="noConversion"/>
  </si>
  <si>
    <t>　阶段进度偏差</t>
    <phoneticPr fontId="5" type="noConversion"/>
  </si>
  <si>
    <t>验收缺陷密度</t>
    <phoneticPr fontId="5" type="noConversion"/>
  </si>
  <si>
    <t>遗留缺陷密度</t>
    <phoneticPr fontId="5" type="noConversion"/>
  </si>
  <si>
    <t>内部验收</t>
    <phoneticPr fontId="5" type="noConversion"/>
  </si>
  <si>
    <t>过程产出缺陷度量</t>
    <phoneticPr fontId="5" type="noConversion"/>
  </si>
  <si>
    <t>填写说明</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</si>
  <si>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phoneticPr fontId="5" type="noConversion"/>
  </si>
  <si>
    <t>单元格图例说明</t>
    <phoneticPr fontId="5" type="noConversion"/>
  </si>
  <si>
    <t>需填写数据</t>
    <phoneticPr fontId="5" type="noConversion"/>
  </si>
  <si>
    <t>项目数据填写、信息输入等</t>
    <phoneticPr fontId="5" type="noConversion"/>
  </si>
  <si>
    <t>自动计算</t>
    <phoneticPr fontId="5" type="noConversion"/>
  </si>
  <si>
    <t>不可编辑，表格自动计算</t>
    <phoneticPr fontId="5" type="noConversion"/>
  </si>
  <si>
    <t>说明名字</t>
    <phoneticPr fontId="5" type="noConversion"/>
  </si>
  <si>
    <t>数据填写指引，一般不编辑</t>
    <phoneticPr fontId="5" type="noConversion"/>
  </si>
  <si>
    <t>表格标题</t>
    <phoneticPr fontId="5" type="noConversion"/>
  </si>
  <si>
    <t>表格指引，一般不编辑</t>
    <phoneticPr fontId="5" type="noConversion"/>
  </si>
  <si>
    <t>度量指标</t>
    <phoneticPr fontId="5" type="noConversion"/>
  </si>
  <si>
    <t>度量指引，一般不编辑</t>
    <phoneticPr fontId="5" type="noConversion"/>
  </si>
  <si>
    <t>项目度量分析计划</t>
  </si>
  <si>
    <t>模型</t>
    <phoneticPr fontId="4" type="noConversion"/>
  </si>
  <si>
    <t>预测-结果</t>
    <phoneticPr fontId="4" type="noConversion"/>
  </si>
  <si>
    <t>预测-指导</t>
    <phoneticPr fontId="4" type="noConversion"/>
  </si>
  <si>
    <t>根因分析</t>
    <phoneticPr fontId="4" type="noConversion"/>
  </si>
  <si>
    <t>模型检验</t>
    <phoneticPr fontId="5" type="noConversion"/>
  </si>
  <si>
    <t>测试及验收缺陷度量</t>
    <phoneticPr fontId="4" type="noConversion"/>
  </si>
  <si>
    <t>编号</t>
    <phoneticPr fontId="5" type="noConversion"/>
  </si>
  <si>
    <t>表格样式</t>
    <phoneticPr fontId="5" type="noConversion"/>
  </si>
  <si>
    <t>说明</t>
    <phoneticPr fontId="5" type="noConversion"/>
  </si>
  <si>
    <t>组织QPPO</t>
  </si>
  <si>
    <t>需求阶段结束时</t>
    <phoneticPr fontId="5" type="noConversion"/>
  </si>
  <si>
    <t>设计阶段结束时</t>
    <phoneticPr fontId="5" type="noConversion"/>
  </si>
  <si>
    <t xml:space="preserve">估算规模  </t>
    <phoneticPr fontId="5" type="noConversion"/>
  </si>
  <si>
    <t>□观测项</t>
    <phoneticPr fontId="5" type="noConversion"/>
  </si>
  <si>
    <t>■ 是</t>
    <phoneticPr fontId="5" type="noConversion"/>
  </si>
  <si>
    <t>项目周期压力系数</t>
    <phoneticPr fontId="5" type="noConversion"/>
  </si>
  <si>
    <t>■ 是</t>
    <phoneticPr fontId="5" type="noConversion"/>
  </si>
  <si>
    <t>客户需求稳定度</t>
    <phoneticPr fontId="5" type="noConversion"/>
  </si>
  <si>
    <t xml:space="preserve">需求规格稳定度 </t>
    <phoneticPr fontId="5" type="noConversion"/>
  </si>
  <si>
    <t>□观测项</t>
    <phoneticPr fontId="5" type="noConversion"/>
  </si>
  <si>
    <t>■ 是</t>
    <phoneticPr fontId="5" type="noConversion"/>
  </si>
  <si>
    <t>项目立项时/变更发生时</t>
    <phoneticPr fontId="5" type="noConversion"/>
  </si>
  <si>
    <t>项目立项时/变更发生时</t>
    <phoneticPr fontId="5" type="noConversion"/>
  </si>
  <si>
    <t>项目立项时/变更发生时</t>
    <phoneticPr fontId="5" type="noConversion"/>
  </si>
  <si>
    <t>阶段里程碑</t>
    <phoneticPr fontId="5" type="noConversion"/>
  </si>
  <si>
    <t>阶段里程碑</t>
    <phoneticPr fontId="5" type="noConversion"/>
  </si>
  <si>
    <t>基于本次预测选择的最佳方案</t>
    <phoneticPr fontId="4" type="noConversion"/>
  </si>
  <si>
    <t>预测结论</t>
    <phoneticPr fontId="4" type="noConversion"/>
  </si>
  <si>
    <t>遗留缺陷</t>
    <phoneticPr fontId="4" type="noConversion"/>
  </si>
  <si>
    <t>观测项，无QPPO</t>
    <phoneticPr fontId="5" type="noConversion"/>
  </si>
  <si>
    <t>观测项，无QPPO</t>
    <phoneticPr fontId="5" type="noConversion"/>
  </si>
  <si>
    <t>观测项，无QPPO</t>
    <phoneticPr fontId="5" type="noConversion"/>
  </si>
  <si>
    <t>管理员操作</t>
    <phoneticPr fontId="4" type="noConversion"/>
  </si>
  <si>
    <t>-</t>
    <phoneticPr fontId="5" type="noConversion"/>
  </si>
  <si>
    <t>外部验收</t>
  </si>
  <si>
    <t>4.请勿对“第N次评审”行进行删除或者填写，以免造成不必要的错误</t>
    <phoneticPr fontId="5" type="noConversion"/>
  </si>
  <si>
    <t>……第N周</t>
    <phoneticPr fontId="5" type="noConversion"/>
  </si>
  <si>
    <t>李四</t>
    <phoneticPr fontId="4" type="noConversion"/>
  </si>
  <si>
    <t>质量保证工程师</t>
  </si>
  <si>
    <t>规模SFP</t>
    <phoneticPr fontId="5" type="noConversion"/>
  </si>
  <si>
    <t>单位规模工作量
（人时/SFP）</t>
    <phoneticPr fontId="5" type="noConversion"/>
  </si>
  <si>
    <t>每个阶段里程碑结束，收集了项目实际数据后，在“实际值”中填写对应的实际数值。（目标预测时，有实际值就取实际值，没有就取目标值）</t>
    <phoneticPr fontId="5" type="noConversion"/>
  </si>
  <si>
    <t>确定性估算</t>
  </si>
  <si>
    <t>需求阶段里程碑结束</t>
  </si>
  <si>
    <t>拒绝</t>
  </si>
  <si>
    <t>接受</t>
  </si>
  <si>
    <t>预测结果分析及采取的措施</t>
    <phoneticPr fontId="4" type="noConversion"/>
  </si>
  <si>
    <t>1.分析：由于交付压力，工期较实际估算结果有较大压缩，压缩了15天，故工期目标达成的置信度过低。
2.措施：（1）对过程因子做相应的调整，与产品经理一起梳理需求，对需求做适当的裁剪。（2）协调增加资源，增加2名开发人员，1名测试人员。</t>
    <phoneticPr fontId="4" type="noConversion"/>
  </si>
  <si>
    <t>1.分析：需求进行部分裁剪并增加资源后，客户要求的交付工期仍较估算工期有压缩，压缩8天，故工期目标达成的置信度仍低于90%。项目目标达成存在风险，纳入风险管理。
2.措施：（1）项目前期开展业务培训，以便能够对需求快速准确的理解。（2）组织开发人员进行编码规范培训，以加强代码规范性，避免后期返工工作。（3）编制日程表时，安排适当的加班计划，以弥补被压缩的工期。</t>
    <phoneticPr fontId="4" type="noConversion"/>
  </si>
  <si>
    <t>1.分析：项目目标达成的置信度高于90%，为保证项目目标达成维持在较高水平，需采取一下措施。
2.措施：（1）加强评审，缺陷尽早暴露，避免后期花费较高成本和时间。</t>
    <phoneticPr fontId="4" type="noConversion"/>
  </si>
  <si>
    <r>
      <t>预测结果</t>
    </r>
    <r>
      <rPr>
        <b/>
        <sz val="10"/>
        <color indexed="9"/>
        <rFont val="宋体"/>
        <family val="3"/>
        <charset val="134"/>
      </rPr>
      <t>（本栏数据来源于水晶球目标预测执行结果）</t>
    </r>
    <phoneticPr fontId="4" type="noConversion"/>
  </si>
  <si>
    <t>说明：工作量“总计”中的“计划”列数据来源于确定性估算表。各阶段的“实际”列数据来源于工时系统，“计划”列数据由公式自动计算，无需改动。</t>
    <phoneticPr fontId="4" type="noConversion"/>
  </si>
  <si>
    <t>计划</t>
    <phoneticPr fontId="5" type="noConversion"/>
  </si>
  <si>
    <t>计划数据</t>
    <phoneticPr fontId="5" type="noConversion"/>
  </si>
  <si>
    <t>实际数据</t>
    <phoneticPr fontId="5" type="noConversion"/>
  </si>
  <si>
    <t>说明：本页缺陷数据来源于评审报告</t>
    <phoneticPr fontId="5" type="noConversion"/>
  </si>
  <si>
    <t>说明：本页缺陷数据来源于缺陷库</t>
  </si>
  <si>
    <t>度量单位：个/SFP</t>
  </si>
  <si>
    <t>准入测试通过率</t>
    <phoneticPr fontId="5" type="noConversion"/>
  </si>
  <si>
    <t>准入不通过次数</t>
    <phoneticPr fontId="5" type="noConversion"/>
  </si>
  <si>
    <t>转测试总次数</t>
    <phoneticPr fontId="5" type="noConversion"/>
  </si>
  <si>
    <t>准入测试用例不通过条数</t>
    <phoneticPr fontId="5" type="noConversion"/>
  </si>
  <si>
    <t>其他人员</t>
    <phoneticPr fontId="5" type="noConversion"/>
  </si>
  <si>
    <t>说明：1. 工作量估算完成后，在第一行填写计划的各阶段单位规模工作量，从而通过回归方程公式自动计算出生产率，计算出预测的项目总工作量。此时通过与估算的工作量作对比，判断是否存在较大偏差，如果有，则分析原因并采取措施。
2. 当每个阶段结束，有其中一个或多个单位规模工作量实际值时，则填写对应的实际值，其他仍然填写计划值，从而通过回归方程公式自动计算出生产率，计算出预测的项目总工作量。此时通过与估算的工作量作对比，判断是否存在较大偏差，如果有，则分析原因并采取措施。</t>
    <phoneticPr fontId="4" type="noConversion"/>
  </si>
  <si>
    <t>说明：1. 项目目标设定后，在第一行填写计划值（如代码走查密度、测试用例覆盖密度、实际测试执行轮次），从而通过回归方程公式计算出预测的测试加权缺陷密度，计算出预测的测试发现缺陷数，与目标设定的测试发现缺陷数作对比，判断是否存在较大偏差，如果有，则分析原因并采取措施。
2. 当其中有一个或多个实际值时，则填写对应的实际值，其他仍然填写计划值，从而通过回归方程公式自动计算出预测的测试加权缺陷密度，计算出预测的测试发现缺陷数，与目标设定的测试发现缺陷数作对比，判断是否存在较大偏差，如果有，则分析原因并采取措施。</t>
    <phoneticPr fontId="4" type="noConversion"/>
  </si>
  <si>
    <t>说明：1.当编码阶段进度偏差率有实际值时，填写编码阶段实际值，测试阶段进度偏差率填写预计值，从而通过回归方程公式自动算出预测的项目总体进度偏差率，计算出项目预计出现的偏差天数。此时通过与目标设定的允许最大偏差天数作对比，判断是否存在较大偏差，如果有，则分析原因并采取措施。
2.当编码阶段进度偏差率、测试阶段进度偏差率有实际值时，填写实际值，从而通过回归方程公式自动算出预测的项目总体进度偏差率，计算出项目预计出现的偏差天数。此时通过与目标设定的允许最大偏差天数作对比，判断是否存在较大偏差，如果有，则分析原因并采取措施。</t>
    <phoneticPr fontId="4" type="noConversion"/>
  </si>
  <si>
    <t>阶段进度偏差</t>
    <phoneticPr fontId="4" type="noConversion"/>
  </si>
  <si>
    <t>-</t>
    <phoneticPr fontId="5" type="noConversion"/>
  </si>
  <si>
    <t>说明：
1.需求变更产生的SFP变化=|新增SFP值| + |删除SFP值| + |修订的SFP值|。举例：新增一个需求，增加了20SFP，删除一个需求，减少了10SFP，修改一个需求，SFP改变了3FP，那这些需求变更产生的SFP变化为20+10+3=33
2.为什么客户需求稳定度中的“需求变更产生的SFP变化”和虚伪规格稳定度中的“需求变更产生的SFP变化”会不一样？客户需求的变化一定会引起需求规格的变化，但除了来自于客户需求的影响外，需求分析或分解时的错误也会引起需求规格出现波动，这个时候需求规格就会有额外的修改，从而导致SFP值发生变化。
3.需求稳定度=1-（需求变化条数/原需求总数）*（变化的SFP/原SFP总数）。当需求稳定度值为最大值1时，表示需求稳定；该数值越小，表示需求稳定度越小，需求越不稳定；需求稳定度可能会出现负值，表示需求稳定度很低，低到为负值。</t>
    <phoneticPr fontId="4" type="noConversion"/>
  </si>
  <si>
    <t>说明：
1.周次的进度偏差取自Project，但请注意，Project中的值填入度量表时需要取相反数，即正数表示延迟，负数表示提前；
2.如需增加或删除周次，请点击上面的按钮；
3.最后一列请勿人为删除，否则将导致表格出错</t>
    <phoneticPr fontId="5" type="noConversion"/>
  </si>
  <si>
    <t>生产率 = 0.618 - 0.139 需求阶段单位规模工作量 - 0.0817 编码阶段单位规模工作量 - 0.107 测试阶段单位规模工作量</t>
    <phoneticPr fontId="5" type="noConversion"/>
  </si>
  <si>
    <t>计划投入工作量</t>
    <phoneticPr fontId="5" type="noConversion"/>
  </si>
  <si>
    <t>单位规模工作量</t>
    <phoneticPr fontId="5" type="noConversion"/>
  </si>
  <si>
    <t>YIPIN.ZHAO</t>
    <phoneticPr fontId="4" type="noConversion"/>
  </si>
  <si>
    <t>目的：控制项目的进度</t>
    <phoneticPr fontId="5" type="noConversion"/>
  </si>
  <si>
    <t>度量单位：计划时间取“确定性估算总体估算与计划表”中开始及完成时间，实际时间提取项目过程中实际开始及完成时间</t>
    <phoneticPr fontId="5" type="noConversion"/>
  </si>
  <si>
    <t>度量单位:天数（工作日）</t>
    <phoneticPr fontId="5" type="noConversion"/>
  </si>
  <si>
    <t>度量三：估算的偏差</t>
    <phoneticPr fontId="5" type="noConversion"/>
  </si>
  <si>
    <t>说明：本页工时数据来源于devsuite、工时系统或个人周报；“要求的人员业务知识”数据来源于“确定性估算总体估算与计划表”</t>
    <phoneticPr fontId="5" type="noConversion"/>
  </si>
  <si>
    <t>规模(SFP)</t>
    <phoneticPr fontId="5" type="noConversion"/>
  </si>
  <si>
    <t>市场通标准版V2.4</t>
    <phoneticPr fontId="5" type="noConversion"/>
  </si>
  <si>
    <t>证券</t>
    <phoneticPr fontId="5" type="noConversion"/>
  </si>
  <si>
    <t>微型</t>
  </si>
  <si>
    <t>高校</t>
    <phoneticPr fontId="5" type="noConversion"/>
  </si>
  <si>
    <t>C++、SQL Server</t>
    <phoneticPr fontId="5" type="noConversion"/>
  </si>
  <si>
    <t>其他</t>
  </si>
  <si>
    <t>C++</t>
    <phoneticPr fontId="5" type="noConversion"/>
  </si>
  <si>
    <t>SQL Server</t>
    <phoneticPr fontId="5" type="noConversion"/>
  </si>
  <si>
    <t>金融大数据机构</t>
    <phoneticPr fontId="5" type="noConversion"/>
  </si>
  <si>
    <t>冯天星</t>
    <phoneticPr fontId="5" type="noConversion"/>
  </si>
  <si>
    <t>冯天星、夏亚红、闫晓良、王飞、郑庆、熊芸、吴子文</t>
    <phoneticPr fontId="5" type="noConversion"/>
  </si>
  <si>
    <r>
      <t>需求阶段、设计阶段、编码阶段、</t>
    </r>
    <r>
      <rPr>
        <sz val="10"/>
        <rFont val="宋体"/>
        <family val="3"/>
        <charset val="134"/>
      </rPr>
      <t>测试阶段、验收阶段</t>
    </r>
    <phoneticPr fontId="5" type="noConversion"/>
  </si>
  <si>
    <t>瀑布开发模型</t>
  </si>
  <si>
    <t>7人</t>
    <phoneticPr fontId="5" type="noConversion"/>
  </si>
  <si>
    <r>
      <t>版权所有 © 2014</t>
    </r>
    <r>
      <rPr>
        <sz val="11"/>
        <color theme="1"/>
        <rFont val="宋体"/>
        <family val="2"/>
        <scheme val="minor"/>
      </rPr>
      <t xml:space="preserve">, 深圳国泰安教育技术有限公司，保留所有权利。
</t>
    </r>
    <phoneticPr fontId="5" type="noConversion"/>
  </si>
  <si>
    <t>深圳国泰安教育技术有限公司和深圳国泰安教育技术有限公司的产品是深圳国泰安教育技术有限公司专有。在提及其他公司及其产品时将使用各自公司所拥有的商标，这种使用的目的仅限于引用。</t>
    <phoneticPr fontId="5" type="noConversion"/>
  </si>
  <si>
    <t>深圳国泰安教育技术有限公司不对此文档中的任何内容作任何明示或暗示的陈述或保证，而且不对特定目的的适销性及适用性或者任何间接、特殊或连带的损失承担任何责任。</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</si>
</sst>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176" formatCode="_(* #,##0_);_(* \(#,##0\);_(* &quot;-&quot;_);_(@_)"/>
    <numFmt numFmtId="177" formatCode="_(* #,##0.00_);_(* \(#,##0.00\);_(* &quot;-&quot;??_);_(@_)"/>
    <numFmt numFmtId="178" formatCode="0.0000_);[Red]\(0.0000\)"/>
    <numFmt numFmtId="179" formatCode="0.0000_ "/>
    <numFmt numFmtId="180" formatCode="#,##0;\-#,##0;&quot;-&quot;"/>
    <numFmt numFmtId="181" formatCode="_(&quot;$&quot;* #,##0.00_);_(&quot;$&quot;* \(#,##0.00\);_(&quot;$&quot;* &quot;-&quot;??_);_(@_)"/>
    <numFmt numFmtId="182" formatCode="&quot;$&quot;#,##0_);[Red]\(&quot;$&quot;#,##0\)"/>
    <numFmt numFmtId="183" formatCode="0.00_ "/>
    <numFmt numFmtId="184" formatCode="_(&quot;$&quot;* #,##0_);_(&quot;$&quot;* \(#,##0\);_(&quot;$&quot;* &quot;-&quot;_);_(@_)"/>
    <numFmt numFmtId="185" formatCode="yyyy/m/d;@"/>
    <numFmt numFmtId="186" formatCode="_ &quot;\&quot;* #,##0_ ;_ &quot;\&quot;* \-#,##0_ ;_ &quot;\&quot;* &quot;-&quot;_ ;_ @_ "/>
    <numFmt numFmtId="187" formatCode="_ &quot;\&quot;* #,##0.00_ ;_ &quot;\&quot;* \-#,##0.00_ ;_ &quot;\&quot;* &quot;-&quot;??_ ;_ @_ "/>
    <numFmt numFmtId="188" formatCode="0.00000_ "/>
    <numFmt numFmtId="189" formatCode="0_ "/>
    <numFmt numFmtId="190" formatCode="0.0%"/>
    <numFmt numFmtId="191" formatCode="yyyy/mm/dd"/>
    <numFmt numFmtId="192" formatCode="0.0_ "/>
    <numFmt numFmtId="193" formatCode="0_);[Red]\(0\)"/>
    <numFmt numFmtId="194" formatCode="m/d"/>
    <numFmt numFmtId="195" formatCode="0.000000_ "/>
    <numFmt numFmtId="196" formatCode="0.00_);[Red]\(0.00\)"/>
    <numFmt numFmtId="197" formatCode="yyyy\/mm\/dd"/>
    <numFmt numFmtId="198" formatCode="0.000_ "/>
    <numFmt numFmtId="199" formatCode="0.000_);[Red]\(0.000\)"/>
  </numFmts>
  <fonts count="159">
    <font>
      <sz val="11"/>
      <color theme="1"/>
      <name val="宋体"/>
      <family val="2"/>
      <scheme val="minor"/>
    </font>
    <font>
      <sz val="11"/>
      <color theme="1"/>
      <name val="宋体"/>
      <family val="2"/>
      <charset val="134"/>
      <scheme val="minor"/>
    </font>
    <font>
      <sz val="11"/>
      <color theme="1"/>
      <name val="宋体"/>
      <family val="3"/>
      <charset val="134"/>
      <scheme val="minor"/>
    </font>
    <font>
      <sz val="12"/>
      <color rgb="FFFFFF00"/>
      <name val="微软雅黑"/>
      <family val="2"/>
      <charset val="134"/>
    </font>
    <font>
      <sz val="9"/>
      <name val="宋体"/>
      <family val="3"/>
      <charset val="134"/>
      <scheme val="minor"/>
    </font>
    <font>
      <sz val="9"/>
      <name val="宋体"/>
      <family val="3"/>
      <charset val="134"/>
    </font>
    <font>
      <sz val="11"/>
      <color rgb="FFFFFF00"/>
      <name val="宋体"/>
      <family val="3"/>
      <charset val="134"/>
      <scheme val="minor"/>
    </font>
    <font>
      <sz val="12"/>
      <name val="宋体"/>
      <family val="3"/>
      <charset val="134"/>
    </font>
    <font>
      <b/>
      <sz val="14"/>
      <name val="微软雅黑"/>
      <family val="2"/>
      <charset val="134"/>
    </font>
    <font>
      <sz val="11"/>
      <color indexed="9"/>
      <name val="Calibri"/>
      <family val="2"/>
    </font>
    <font>
      <b/>
      <sz val="12"/>
      <color indexed="9"/>
      <name val="微软雅黑"/>
      <family val="2"/>
      <charset val="134"/>
    </font>
    <font>
      <sz val="11"/>
      <name val="微软雅黑"/>
      <family val="2"/>
      <charset val="134"/>
    </font>
    <font>
      <sz val="11"/>
      <color theme="1"/>
      <name val="微软雅黑"/>
      <family val="2"/>
      <charset val="134"/>
    </font>
    <font>
      <sz val="16"/>
      <name val="微软雅黑"/>
      <family val="2"/>
      <charset val="134"/>
    </font>
    <font>
      <sz val="10"/>
      <name val="微软雅黑"/>
      <family val="2"/>
      <charset val="134"/>
    </font>
    <font>
      <sz val="10"/>
      <color rgb="FFFF0000"/>
      <name val="微软雅黑"/>
      <family val="2"/>
      <charset val="134"/>
    </font>
    <font>
      <sz val="12"/>
      <color rgb="FFFF0000"/>
      <name val="微软雅黑"/>
      <family val="2"/>
      <charset val="134"/>
    </font>
    <font>
      <b/>
      <sz val="14"/>
      <color indexed="9"/>
      <name val="微软雅黑"/>
      <family val="2"/>
      <charset val="134"/>
    </font>
    <font>
      <sz val="14"/>
      <name val="微软雅黑"/>
      <family val="2"/>
      <charset val="134"/>
    </font>
    <font>
      <b/>
      <sz val="12"/>
      <name val="微软雅黑"/>
      <family val="2"/>
      <charset val="134"/>
    </font>
    <font>
      <sz val="10"/>
      <name val="宋体"/>
      <family val="3"/>
      <charset val="134"/>
    </font>
    <font>
      <sz val="11"/>
      <color indexed="8"/>
      <name val="宋体"/>
      <family val="3"/>
      <charset val="134"/>
    </font>
    <font>
      <sz val="11"/>
      <color rgb="FF92D050"/>
      <name val="宋体"/>
      <family val="3"/>
      <charset val="134"/>
      <scheme val="minor"/>
    </font>
    <font>
      <sz val="11"/>
      <color theme="0" tint="-0.499984740745262"/>
      <name val="宋体"/>
      <family val="3"/>
      <charset val="134"/>
      <scheme val="minor"/>
    </font>
    <font>
      <sz val="11"/>
      <color theme="8" tint="0.39997558519241921"/>
      <name val="宋体"/>
      <family val="3"/>
      <charset val="134"/>
      <scheme val="minor"/>
    </font>
    <font>
      <sz val="9"/>
      <color indexed="81"/>
      <name val="宋体"/>
      <family val="3"/>
      <charset val="134"/>
    </font>
    <font>
      <b/>
      <sz val="9"/>
      <color indexed="81"/>
      <name val="宋体"/>
      <family val="3"/>
      <charset val="134"/>
    </font>
    <font>
      <sz val="10"/>
      <name val="Helv"/>
      <family val="2"/>
    </font>
    <font>
      <sz val="12"/>
      <name val="Times New Roman"/>
      <family val="1"/>
    </font>
    <font>
      <sz val="11"/>
      <color indexed="8"/>
      <name val="Calibri"/>
      <family val="2"/>
    </font>
    <font>
      <sz val="11"/>
      <color indexed="9"/>
      <name val="宋体"/>
      <family val="3"/>
      <charset val="134"/>
    </font>
    <font>
      <sz val="11"/>
      <color indexed="16"/>
      <name val="Calibri"/>
      <family val="2"/>
    </font>
    <font>
      <sz val="10"/>
      <color indexed="8"/>
      <name val="Arial"/>
      <family val="2"/>
    </font>
    <font>
      <b/>
      <sz val="11"/>
      <color indexed="53"/>
      <name val="Calibri"/>
      <family val="2"/>
    </font>
    <font>
      <b/>
      <sz val="11"/>
      <color indexed="9"/>
      <name val="Calibri"/>
      <family val="2"/>
    </font>
    <font>
      <b/>
      <sz val="11"/>
      <color indexed="8"/>
      <name val="Calibri"/>
      <family val="2"/>
    </font>
    <font>
      <i/>
      <sz val="11"/>
      <color indexed="23"/>
      <name val="Calibri"/>
      <family val="2"/>
    </font>
    <font>
      <sz val="11"/>
      <color indexed="17"/>
      <name val="Calibri"/>
      <family val="2"/>
    </font>
    <font>
      <sz val="8"/>
      <name val="Arial"/>
      <family val="2"/>
    </font>
    <font>
      <b/>
      <sz val="12"/>
      <name val="Arial"/>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0"/>
      <name val="MS Sans Serif"/>
      <family val="2"/>
    </font>
    <font>
      <sz val="12"/>
      <name val="M"/>
      <family val="1"/>
      <charset val="136"/>
    </font>
    <font>
      <sz val="11"/>
      <color indexed="60"/>
      <name val="Calibri"/>
      <family val="2"/>
    </font>
    <font>
      <sz val="7"/>
      <name val="Small Fonts"/>
      <family val="2"/>
    </font>
    <font>
      <sz val="11"/>
      <name val="ＭＳ 明朝"/>
      <family val="3"/>
    </font>
    <font>
      <sz val="10"/>
      <name val="Arial"/>
      <family val="2"/>
    </font>
    <font>
      <sz val="11"/>
      <name val="ＭＳ Ｐゴシック"/>
      <family val="2"/>
      <charset val="128"/>
    </font>
    <font>
      <sz val="11"/>
      <name val="ＭＳ Ｐゴシック"/>
      <family val="2"/>
    </font>
    <font>
      <b/>
      <sz val="11"/>
      <color indexed="63"/>
      <name val="Calibri"/>
      <family val="2"/>
    </font>
    <font>
      <b/>
      <sz val="18"/>
      <color indexed="62"/>
      <name val="Cambria"/>
      <family val="1"/>
    </font>
    <font>
      <b/>
      <sz val="12"/>
      <name val="MS Sans Serif"/>
      <family val="2"/>
    </font>
    <font>
      <sz val="12"/>
      <name val="MS Sans Serif"/>
      <family val="2"/>
    </font>
    <font>
      <b/>
      <sz val="18"/>
      <color indexed="56"/>
      <name val="Cambria"/>
      <family val="1"/>
    </font>
    <font>
      <sz val="11"/>
      <color indexed="10"/>
      <name val="Calibri"/>
      <family val="2"/>
    </font>
    <font>
      <u/>
      <sz val="10"/>
      <color indexed="12"/>
      <name val="ＭＳ Ｐ明朝"/>
      <family val="1"/>
      <charset val="128"/>
    </font>
    <font>
      <u/>
      <sz val="10"/>
      <color indexed="12"/>
      <name val="ＭＳ Ｐ明朝"/>
      <family val="1"/>
    </font>
    <font>
      <sz val="11"/>
      <name val="Times New Roman"/>
      <family val="1"/>
    </font>
    <font>
      <b/>
      <sz val="15"/>
      <color indexed="62"/>
      <name val="宋体"/>
      <family val="3"/>
      <charset val="134"/>
    </font>
    <font>
      <b/>
      <sz val="15"/>
      <color indexed="56"/>
      <name val="宋体"/>
      <family val="3"/>
      <charset val="134"/>
    </font>
    <font>
      <b/>
      <sz val="13"/>
      <color indexed="62"/>
      <name val="宋体"/>
      <family val="3"/>
      <charset val="134"/>
    </font>
    <font>
      <b/>
      <sz val="13"/>
      <color indexed="56"/>
      <name val="宋体"/>
      <family val="3"/>
      <charset val="134"/>
    </font>
    <font>
      <b/>
      <sz val="11"/>
      <color indexed="56"/>
      <name val="宋体"/>
      <family val="3"/>
      <charset val="134"/>
    </font>
    <font>
      <b/>
      <sz val="18"/>
      <color indexed="56"/>
      <name val="宋体"/>
      <family val="3"/>
      <charset val="134"/>
    </font>
    <font>
      <u/>
      <sz val="10"/>
      <color indexed="36"/>
      <name val="ＭＳ Ｐ明朝"/>
      <family val="1"/>
      <charset val="128"/>
    </font>
    <font>
      <u/>
      <sz val="10"/>
      <color indexed="36"/>
      <name val="ＭＳ Ｐ明朝"/>
      <family val="1"/>
    </font>
    <font>
      <sz val="11"/>
      <color indexed="20"/>
      <name val="宋体"/>
      <family val="3"/>
      <charset val="134"/>
    </font>
    <font>
      <sz val="11"/>
      <color indexed="20"/>
      <name val="微软雅黑"/>
      <family val="2"/>
      <charset val="134"/>
    </font>
    <font>
      <sz val="9"/>
      <color indexed="20"/>
      <name val="幼圆"/>
      <family val="3"/>
      <charset val="134"/>
    </font>
    <font>
      <sz val="9"/>
      <color indexed="20"/>
      <name val="微软雅黑"/>
      <family val="2"/>
      <charset val="134"/>
    </font>
    <font>
      <sz val="10"/>
      <name val="Times New Roman"/>
      <family val="1"/>
    </font>
    <font>
      <u/>
      <sz val="10.8"/>
      <color indexed="12"/>
      <name val="宋体"/>
      <family val="3"/>
      <charset val="134"/>
    </font>
    <font>
      <sz val="11"/>
      <color indexed="17"/>
      <name val="宋体"/>
      <family val="3"/>
      <charset val="134"/>
    </font>
    <font>
      <sz val="11"/>
      <color indexed="17"/>
      <name val="微软雅黑"/>
      <family val="2"/>
      <charset val="134"/>
    </font>
    <font>
      <sz val="9"/>
      <color indexed="17"/>
      <name val="幼圆"/>
      <family val="3"/>
      <charset val="134"/>
    </font>
    <font>
      <sz val="9"/>
      <color indexed="17"/>
      <name val="微软雅黑"/>
      <family val="2"/>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2"/>
      <name val="바탕체"/>
      <family val="3"/>
    </font>
    <font>
      <b/>
      <sz val="11"/>
      <color theme="1"/>
      <name val="宋体"/>
      <family val="3"/>
      <charset val="134"/>
      <scheme val="minor"/>
    </font>
    <font>
      <sz val="9"/>
      <name val="微软雅黑"/>
      <family val="2"/>
      <charset val="134"/>
    </font>
    <font>
      <b/>
      <sz val="26"/>
      <color theme="4" tint="-0.499984740745262"/>
      <name val="微软雅黑"/>
      <family val="2"/>
      <charset val="134"/>
    </font>
    <font>
      <sz val="12"/>
      <name val="微软雅黑"/>
      <family val="2"/>
      <charset val="134"/>
    </font>
    <font>
      <b/>
      <sz val="14"/>
      <color theme="0"/>
      <name val="微软雅黑"/>
      <family val="2"/>
      <charset val="134"/>
    </font>
    <font>
      <sz val="10"/>
      <color theme="1"/>
      <name val="微软雅黑"/>
      <family val="2"/>
      <charset val="134"/>
    </font>
    <font>
      <i/>
      <sz val="10"/>
      <color rgb="FF0000FF"/>
      <name val="微软雅黑"/>
      <family val="2"/>
      <charset val="134"/>
    </font>
    <font>
      <sz val="10"/>
      <color indexed="8"/>
      <name val="微软雅黑"/>
      <family val="2"/>
      <charset val="134"/>
    </font>
    <font>
      <sz val="10"/>
      <color indexed="8"/>
      <name val="华文中宋"/>
      <family val="3"/>
      <charset val="134"/>
    </font>
    <font>
      <b/>
      <sz val="10"/>
      <color indexed="9"/>
      <name val="微软雅黑"/>
      <family val="2"/>
      <charset val="134"/>
    </font>
    <font>
      <b/>
      <sz val="10"/>
      <color theme="0"/>
      <name val="微软雅黑"/>
      <family val="2"/>
      <charset val="134"/>
    </font>
    <font>
      <u/>
      <sz val="12"/>
      <color indexed="12"/>
      <name val="宋体"/>
      <family val="3"/>
      <charset val="134"/>
    </font>
    <font>
      <u/>
      <sz val="10"/>
      <color indexed="12"/>
      <name val="微软雅黑"/>
      <family val="2"/>
      <charset val="134"/>
    </font>
    <font>
      <sz val="10"/>
      <color indexed="8"/>
      <name val="宋体"/>
      <family val="3"/>
      <charset val="134"/>
    </font>
    <font>
      <b/>
      <sz val="10"/>
      <color indexed="9"/>
      <name val="宋体"/>
      <family val="3"/>
      <charset val="134"/>
    </font>
    <font>
      <sz val="10"/>
      <color indexed="9"/>
      <name val="宋体"/>
      <family val="3"/>
      <charset val="134"/>
    </font>
    <font>
      <sz val="9"/>
      <color indexed="9"/>
      <name val="宋体"/>
      <family val="3"/>
      <charset val="134"/>
    </font>
    <font>
      <b/>
      <sz val="14"/>
      <color indexed="9"/>
      <name val="宋体"/>
      <family val="3"/>
      <charset val="134"/>
    </font>
    <font>
      <b/>
      <sz val="16"/>
      <name val="宋体"/>
      <family val="3"/>
      <charset val="134"/>
    </font>
    <font>
      <b/>
      <sz val="12"/>
      <name val="宋体"/>
      <family val="3"/>
      <charset val="134"/>
    </font>
    <font>
      <sz val="10"/>
      <color rgb="FFFF0000"/>
      <name val="宋体"/>
      <family val="3"/>
      <charset val="134"/>
    </font>
    <font>
      <sz val="10"/>
      <color theme="1"/>
      <name val="宋体"/>
      <family val="3"/>
      <charset val="134"/>
    </font>
    <font>
      <sz val="10"/>
      <color rgb="FF0066FF"/>
      <name val="宋体"/>
      <family val="3"/>
      <charset val="134"/>
    </font>
    <font>
      <sz val="10"/>
      <color indexed="12"/>
      <name val="宋体"/>
      <family val="3"/>
      <charset val="134"/>
    </font>
    <font>
      <sz val="10"/>
      <color theme="1"/>
      <name val="宋体"/>
      <family val="3"/>
      <charset val="134"/>
      <scheme val="minor"/>
    </font>
    <font>
      <sz val="16"/>
      <name val="Times New Roman"/>
      <family val="1"/>
    </font>
    <font>
      <sz val="16"/>
      <name val="宋体"/>
      <family val="3"/>
      <charset val="134"/>
    </font>
    <font>
      <sz val="9"/>
      <color indexed="81"/>
      <name val="Tahoma"/>
      <family val="2"/>
    </font>
    <font>
      <b/>
      <sz val="10"/>
      <name val="宋体"/>
      <family val="3"/>
      <charset val="134"/>
    </font>
    <font>
      <sz val="9"/>
      <color theme="1"/>
      <name val="宋体"/>
      <family val="3"/>
      <charset val="134"/>
    </font>
    <font>
      <sz val="10"/>
      <color rgb="FFC00000"/>
      <name val="宋体"/>
      <family val="3"/>
      <charset val="134"/>
    </font>
    <font>
      <sz val="10.5"/>
      <color rgb="FF000000"/>
      <name val="宋体"/>
      <family val="3"/>
      <charset val="134"/>
    </font>
    <font>
      <sz val="10.5"/>
      <color indexed="8"/>
      <name val="Arial"/>
      <family val="2"/>
    </font>
    <font>
      <sz val="10.5"/>
      <color indexed="8"/>
      <name val="宋体"/>
      <family val="3"/>
      <charset val="134"/>
    </font>
    <font>
      <sz val="10"/>
      <color rgb="FF000000"/>
      <name val="微软雅黑"/>
      <family val="2"/>
      <charset val="134"/>
    </font>
    <font>
      <sz val="10"/>
      <color rgb="FFFFFFFF"/>
      <name val="宋体"/>
      <family val="3"/>
      <charset val="134"/>
    </font>
    <font>
      <sz val="10"/>
      <color rgb="FF000000"/>
      <name val="宋体"/>
      <family val="3"/>
      <charset val="134"/>
    </font>
    <font>
      <sz val="10"/>
      <color rgb="FF000000"/>
      <name val="Arial"/>
      <family val="2"/>
    </font>
    <font>
      <b/>
      <sz val="10"/>
      <color rgb="FF000000"/>
      <name val="宋体"/>
      <family val="3"/>
      <charset val="134"/>
    </font>
    <font>
      <b/>
      <sz val="10"/>
      <color rgb="FF000000"/>
      <name val="Arial"/>
      <family val="2"/>
    </font>
    <font>
      <sz val="9"/>
      <name val="仿宋"/>
      <family val="3"/>
      <charset val="134"/>
    </font>
    <font>
      <sz val="9"/>
      <color rgb="FF000000"/>
      <name val="宋体"/>
      <family val="3"/>
      <charset val="134"/>
    </font>
    <font>
      <b/>
      <sz val="10"/>
      <name val="微软雅黑"/>
      <family val="2"/>
      <charset val="134"/>
    </font>
    <font>
      <b/>
      <sz val="10"/>
      <color rgb="FFFFFFFF"/>
      <name val="微软雅黑"/>
      <family val="2"/>
      <charset val="134"/>
    </font>
    <font>
      <u/>
      <sz val="10"/>
      <name val="微软雅黑"/>
      <family val="2"/>
      <charset val="134"/>
    </font>
    <font>
      <b/>
      <sz val="9"/>
      <color theme="0"/>
      <name val="宋体"/>
      <family val="3"/>
      <charset val="134"/>
    </font>
    <font>
      <sz val="9"/>
      <color rgb="FFFF0000"/>
      <name val="宋体"/>
      <family val="3"/>
      <charset val="134"/>
    </font>
    <font>
      <sz val="10"/>
      <color indexed="10"/>
      <name val="微软雅黑"/>
      <family val="2"/>
      <charset val="134"/>
    </font>
    <font>
      <b/>
      <sz val="10"/>
      <color theme="1"/>
      <name val="宋体"/>
      <family val="3"/>
      <charset val="134"/>
    </font>
    <font>
      <b/>
      <sz val="10"/>
      <name val="Times New Roman"/>
      <family val="1"/>
    </font>
    <font>
      <b/>
      <sz val="10"/>
      <color theme="1"/>
      <name val="宋体"/>
      <family val="3"/>
      <charset val="134"/>
      <scheme val="minor"/>
    </font>
    <font>
      <b/>
      <sz val="18"/>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b/>
      <u/>
      <sz val="12"/>
      <color indexed="8"/>
      <name val="Arial"/>
      <family val="2"/>
    </font>
    <font>
      <b/>
      <sz val="10"/>
      <name val="Comic Sans MS"/>
      <family val="4"/>
    </font>
    <font>
      <b/>
      <sz val="12"/>
      <name val="Comic Sans MS"/>
      <family val="4"/>
    </font>
    <font>
      <sz val="12"/>
      <name val="Comic Sans MS"/>
      <family val="4"/>
    </font>
    <font>
      <sz val="10"/>
      <color rgb="FF7030A0"/>
      <name val="宋体"/>
      <family val="3"/>
      <charset val="134"/>
    </font>
    <font>
      <b/>
      <sz val="10"/>
      <color theme="0"/>
      <name val="宋体"/>
      <family val="3"/>
      <charset val="134"/>
    </font>
    <font>
      <sz val="10"/>
      <color theme="0"/>
      <name val="宋体"/>
      <family val="3"/>
      <charset val="134"/>
    </font>
    <font>
      <sz val="11"/>
      <color rgb="FFFF0000"/>
      <name val="宋体"/>
      <family val="3"/>
      <charset val="134"/>
    </font>
    <font>
      <sz val="22"/>
      <name val="宋体"/>
      <family val="3"/>
      <charset val="134"/>
    </font>
    <font>
      <sz val="10"/>
      <color theme="5"/>
      <name val="宋体"/>
      <family val="3"/>
      <charset val="134"/>
    </font>
    <font>
      <b/>
      <sz val="9"/>
      <name val="宋体"/>
      <family val="3"/>
      <charset val="134"/>
    </font>
    <font>
      <sz val="8"/>
      <color rgb="FF000000"/>
      <name val="宋体"/>
      <family val="3"/>
      <charset val="134"/>
    </font>
    <font>
      <i/>
      <sz val="10"/>
      <color rgb="FF0000FF"/>
      <name val="宋体"/>
      <family val="3"/>
      <charset val="134"/>
    </font>
    <font>
      <sz val="10"/>
      <color rgb="FFFF0000"/>
      <name val="宋体"/>
      <family val="3"/>
      <charset val="134"/>
      <scheme val="minor"/>
    </font>
  </fonts>
  <fills count="102">
    <fill>
      <patternFill patternType="none"/>
    </fill>
    <fill>
      <patternFill patternType="gray125"/>
    </fill>
    <fill>
      <patternFill patternType="solid">
        <fgColor theme="5" tint="-0.249977111117893"/>
        <bgColor indexed="64"/>
      </patternFill>
    </fill>
    <fill>
      <patternFill patternType="solid">
        <fgColor theme="4" tint="0.39997558519241921"/>
        <bgColor indexed="64"/>
      </patternFill>
    </fill>
    <fill>
      <patternFill patternType="solid">
        <fgColor indexed="25"/>
        <bgColor indexed="25"/>
      </patternFill>
    </fill>
    <fill>
      <patternFill patternType="solid">
        <fgColor theme="4" tint="-0.499984740745262"/>
        <bgColor indexed="25"/>
      </patternFill>
    </fill>
    <fill>
      <patternFill patternType="solid">
        <fgColor indexed="62"/>
        <bgColor indexed="25"/>
      </patternFill>
    </fill>
    <fill>
      <patternFill patternType="solid">
        <fgColor indexed="62"/>
        <bgColor indexed="64"/>
      </patternFill>
    </fill>
    <fill>
      <patternFill patternType="solid">
        <fgColor indexed="30"/>
        <bgColor indexed="64"/>
      </patternFill>
    </fill>
    <fill>
      <patternFill patternType="solid">
        <fgColor indexed="44"/>
        <bgColor indexed="64"/>
      </patternFill>
    </fill>
    <fill>
      <patternFill patternType="solid">
        <fgColor rgb="FF00FF00"/>
        <bgColor indexed="64"/>
      </patternFill>
    </fill>
    <fill>
      <patternFill patternType="solid">
        <fgColor indexed="55"/>
        <bgColor indexed="64"/>
      </patternFill>
    </fill>
    <fill>
      <patternFill patternType="solid">
        <fgColor indexed="11"/>
        <bgColor indexed="64"/>
      </patternFill>
    </fill>
    <fill>
      <patternFill patternType="solid">
        <fgColor rgb="FF00FFFF"/>
        <bgColor indexed="64"/>
      </patternFill>
    </fill>
    <fill>
      <patternFill patternType="solid">
        <fgColor indexed="15"/>
        <bgColor indexed="64"/>
      </patternFill>
    </fill>
    <fill>
      <patternFill patternType="solid">
        <fgColor rgb="FFFFFF00"/>
        <bgColor indexed="64"/>
      </patternFill>
    </fill>
    <fill>
      <patternFill patternType="solid">
        <fgColor indexed="22"/>
        <bgColor indexed="64"/>
      </patternFill>
    </fill>
    <fill>
      <patternFill patternType="solid">
        <fgColor indexed="31"/>
      </patternFill>
    </fill>
    <fill>
      <patternFill patternType="solid">
        <fgColor indexed="31"/>
        <bgColor indexed="64"/>
      </patternFill>
    </fill>
    <fill>
      <patternFill patternType="solid">
        <fgColor indexed="45"/>
      </patternFill>
    </fill>
    <fill>
      <patternFill patternType="solid">
        <fgColor indexed="45"/>
        <bgColor indexed="64"/>
      </patternFill>
    </fill>
    <fill>
      <patternFill patternType="solid">
        <fgColor indexed="42"/>
      </patternFill>
    </fill>
    <fill>
      <patternFill patternType="solid">
        <fgColor indexed="42"/>
        <bgColor indexed="64"/>
      </patternFill>
    </fill>
    <fill>
      <patternFill patternType="solid">
        <fgColor indexed="46"/>
      </patternFill>
    </fill>
    <fill>
      <patternFill patternType="solid">
        <fgColor indexed="46"/>
        <bgColor indexed="64"/>
      </patternFill>
    </fill>
    <fill>
      <patternFill patternType="solid">
        <fgColor indexed="27"/>
      </patternFill>
    </fill>
    <fill>
      <patternFill patternType="solid">
        <fgColor indexed="27"/>
        <bgColor indexed="64"/>
      </patternFill>
    </fill>
    <fill>
      <patternFill patternType="solid">
        <fgColor indexed="47"/>
      </patternFill>
    </fill>
    <fill>
      <patternFill patternType="solid">
        <fgColor indexed="47"/>
        <bgColor indexed="64"/>
      </patternFill>
    </fill>
    <fill>
      <patternFill patternType="solid">
        <fgColor indexed="44"/>
      </patternFill>
    </fill>
    <fill>
      <patternFill patternType="solid">
        <fgColor indexed="29"/>
      </patternFill>
    </fill>
    <fill>
      <patternFill patternType="solid">
        <fgColor indexed="29"/>
        <bgColor indexed="64"/>
      </patternFill>
    </fill>
    <fill>
      <patternFill patternType="solid">
        <fgColor indexed="11"/>
      </patternFill>
    </fill>
    <fill>
      <patternFill patternType="solid">
        <fgColor indexed="51"/>
      </patternFill>
    </fill>
    <fill>
      <patternFill patternType="solid">
        <fgColor indexed="51"/>
        <bgColor indexed="64"/>
      </patternFill>
    </fill>
    <fill>
      <patternFill patternType="solid">
        <fgColor indexed="30"/>
      </patternFill>
    </fill>
    <fill>
      <patternFill patternType="solid">
        <fgColor indexed="36"/>
      </patternFill>
    </fill>
    <fill>
      <patternFill patternType="solid">
        <fgColor indexed="36"/>
        <bgColor indexed="64"/>
      </patternFill>
    </fill>
    <fill>
      <patternFill patternType="solid">
        <fgColor indexed="49"/>
      </patternFill>
    </fill>
    <fill>
      <patternFill patternType="solid">
        <fgColor indexed="49"/>
        <bgColor indexed="64"/>
      </patternFill>
    </fill>
    <fill>
      <patternFill patternType="solid">
        <fgColor indexed="52"/>
      </patternFill>
    </fill>
    <fill>
      <patternFill patternType="solid">
        <fgColor indexed="52"/>
        <bgColor indexed="64"/>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25"/>
        <bgColor indexed="64"/>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6"/>
        <bgColor indexed="64"/>
      </patternFill>
    </fill>
    <fill>
      <patternFill patternType="solid">
        <fgColor indexed="43"/>
        <bgColor indexed="43"/>
      </patternFill>
    </fill>
    <fill>
      <patternFill patternType="gray125">
        <bgColor indexed="22"/>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43"/>
        <bgColor indexed="64"/>
      </patternFill>
    </fill>
    <fill>
      <patternFill patternType="solid">
        <fgColor indexed="26"/>
      </patternFill>
    </fill>
    <fill>
      <patternFill patternType="gray0625">
        <fgColor indexed="44"/>
        <bgColor indexed="26"/>
      </patternFill>
    </fill>
    <fill>
      <patternFill patternType="solid">
        <fgColor theme="4" tint="-0.249977111117893"/>
        <bgColor indexed="25"/>
      </patternFill>
    </fill>
    <fill>
      <patternFill patternType="solid">
        <fgColor theme="4" tint="-0.249977111117893"/>
        <bgColor indexed="64"/>
      </patternFill>
    </fill>
    <fill>
      <patternFill patternType="solid">
        <fgColor theme="4" tint="0.59999389629810485"/>
        <bgColor theme="4" tint="0.59999389629810485"/>
      </patternFill>
    </fill>
    <fill>
      <patternFill patternType="solid">
        <fgColor theme="0" tint="-4.9989318521683403E-2"/>
        <bgColor theme="4" tint="0.79998168889431442"/>
      </patternFill>
    </fill>
    <fill>
      <patternFill patternType="solid">
        <fgColor theme="0" tint="-0.14999847407452621"/>
        <bgColor theme="4" tint="0.79998168889431442"/>
      </patternFill>
    </fill>
    <fill>
      <patternFill patternType="solid">
        <fgColor theme="4" tint="0.59999389629810485"/>
        <bgColor theme="4" tint="0.79998168889431442"/>
      </patternFill>
    </fill>
    <fill>
      <patternFill patternType="solid">
        <fgColor theme="4" tint="0.59999389629810485"/>
        <bgColor indexed="64"/>
      </patternFill>
    </fill>
    <fill>
      <patternFill patternType="solid">
        <fgColor theme="0" tint="-0.14999847407452621"/>
        <bgColor indexed="64"/>
      </patternFill>
    </fill>
    <fill>
      <patternFill patternType="solid">
        <fgColor indexed="23"/>
        <bgColor indexed="64"/>
      </patternFill>
    </fill>
    <fill>
      <patternFill patternType="solid">
        <fgColor indexed="9"/>
        <bgColor indexed="64"/>
      </patternFill>
    </fill>
    <fill>
      <patternFill patternType="solid">
        <fgColor rgb="FFCCFFFF"/>
        <bgColor indexed="64"/>
      </patternFill>
    </fill>
    <fill>
      <patternFill patternType="solid">
        <fgColor theme="0"/>
        <bgColor indexed="64"/>
      </patternFill>
    </fill>
    <fill>
      <patternFill patternType="solid">
        <fgColor rgb="FF0066CC"/>
        <bgColor indexed="64"/>
      </patternFill>
    </fill>
    <fill>
      <patternFill patternType="solid">
        <fgColor rgb="FFFFCC00"/>
        <bgColor indexed="64"/>
      </patternFill>
    </fill>
    <fill>
      <patternFill patternType="solid">
        <fgColor rgb="FF33CCCC"/>
        <bgColor indexed="64"/>
      </patternFill>
    </fill>
    <fill>
      <patternFill patternType="solid">
        <fgColor rgb="FF99CCFF"/>
        <bgColor indexed="64"/>
      </patternFill>
    </fill>
    <fill>
      <patternFill patternType="solid">
        <fgColor theme="0" tint="-0.249977111117893"/>
        <bgColor indexed="64"/>
      </patternFill>
    </fill>
    <fill>
      <patternFill patternType="solid">
        <fgColor rgb="FFB8CCE4"/>
        <bgColor indexed="64"/>
      </patternFill>
    </fill>
    <fill>
      <patternFill patternType="solid">
        <fgColor rgb="FFDBE5F1"/>
        <bgColor indexed="64"/>
      </patternFill>
    </fill>
    <fill>
      <patternFill patternType="solid">
        <fgColor rgb="FF4F81BD"/>
        <bgColor indexed="64"/>
      </patternFill>
    </fill>
    <fill>
      <patternFill patternType="solid">
        <fgColor rgb="FF00B050"/>
        <bgColor indexed="64"/>
      </patternFill>
    </fill>
    <fill>
      <patternFill patternType="solid">
        <fgColor theme="4"/>
        <bgColor theme="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rgb="FFD8E4BC"/>
        <bgColor indexed="64"/>
      </patternFill>
    </fill>
    <fill>
      <patternFill patternType="solid">
        <fgColor theme="3" tint="0.59999389629810485"/>
        <bgColor indexed="64"/>
      </patternFill>
    </fill>
    <fill>
      <patternFill patternType="solid">
        <fgColor theme="0" tint="-0.499984740745262"/>
        <bgColor theme="4"/>
      </patternFill>
    </fill>
    <fill>
      <patternFill patternType="solid">
        <fgColor theme="0" tint="-0.34998626667073579"/>
        <bgColor theme="4" tint="0.59999389629810485"/>
      </patternFill>
    </fill>
    <fill>
      <patternFill patternType="darkTrellis"/>
    </fill>
    <fill>
      <patternFill patternType="darkTrellis">
        <bgColor indexed="9"/>
      </patternFill>
    </fill>
    <fill>
      <patternFill patternType="darkTrellis">
        <bgColor rgb="FFCCFFFF"/>
      </patternFill>
    </fill>
    <fill>
      <patternFill patternType="solid">
        <fgColor theme="6" tint="0.59999389629810485"/>
        <bgColor indexed="64"/>
      </patternFill>
    </fill>
    <fill>
      <patternFill patternType="solid">
        <fgColor indexed="65"/>
        <bgColor indexed="64"/>
      </patternFill>
    </fill>
  </fills>
  <borders count="308">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bottom/>
      <diagonal/>
    </border>
    <border>
      <left/>
      <right style="thin">
        <color indexed="64"/>
      </right>
      <top/>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diagonal/>
    </border>
    <border>
      <left style="medium">
        <color indexed="64"/>
      </left>
      <right/>
      <top/>
      <bottom style="medium">
        <color indexed="64"/>
      </bottom>
      <diagonal/>
    </border>
    <border>
      <left/>
      <right style="medium">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top/>
      <bottom style="thick">
        <color indexed="49"/>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style="thin">
        <color theme="0"/>
      </right>
      <top style="thin">
        <color theme="0"/>
      </top>
      <bottom style="thin">
        <color indexed="64"/>
      </bottom>
      <diagonal/>
    </border>
    <border>
      <left style="thin">
        <color theme="0"/>
      </left>
      <right style="thin">
        <color theme="0"/>
      </right>
      <top style="thin">
        <color theme="0"/>
      </top>
      <bottom/>
      <diagonal/>
    </border>
    <border>
      <left style="thin">
        <color theme="0"/>
      </left>
      <right/>
      <top style="thin">
        <color indexed="64"/>
      </top>
      <bottom style="thin">
        <color theme="0"/>
      </bottom>
      <diagonal/>
    </border>
    <border>
      <left/>
      <right/>
      <top style="thin">
        <color indexed="64"/>
      </top>
      <bottom style="thin">
        <color theme="0"/>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top style="thin">
        <color indexed="64"/>
      </top>
      <bottom style="thin">
        <color theme="0"/>
      </bottom>
      <diagonal/>
    </border>
    <border>
      <left/>
      <right style="thin">
        <color theme="0"/>
      </right>
      <top style="thin">
        <color indexed="64"/>
      </top>
      <bottom style="thin">
        <color theme="0"/>
      </bottom>
      <diagonal/>
    </border>
    <border>
      <left style="thin">
        <color theme="0"/>
      </left>
      <right/>
      <top/>
      <bottom style="thin">
        <color theme="0"/>
      </bottom>
      <diagonal/>
    </border>
    <border>
      <left/>
      <right/>
      <top style="thin">
        <color theme="0"/>
      </top>
      <bottom style="thin">
        <color theme="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op>
      <bottom style="thin">
        <color theme="0"/>
      </bottom>
      <diagonal/>
    </border>
    <border>
      <left/>
      <right style="thin">
        <color theme="0"/>
      </right>
      <top style="thin">
        <color theme="0"/>
      </top>
      <bottom style="thin">
        <color theme="0"/>
      </bottom>
      <diagonal/>
    </border>
    <border>
      <left/>
      <right style="thin">
        <color theme="0" tint="-4.9989318521683403E-2"/>
      </right>
      <top style="thin">
        <color theme="0"/>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style="thin">
        <color theme="0"/>
      </top>
      <bottom/>
      <diagonal/>
    </border>
    <border>
      <left/>
      <right/>
      <top style="thin">
        <color indexed="64"/>
      </top>
      <bottom/>
      <diagonal/>
    </border>
    <border>
      <left style="thin">
        <color indexed="9"/>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right/>
      <top/>
      <bottom style="hair">
        <color indexed="22"/>
      </bottom>
      <diagonal/>
    </border>
    <border>
      <left style="hair">
        <color indexed="22"/>
      </left>
      <right/>
      <top/>
      <bottom style="hair">
        <color indexed="22"/>
      </bottom>
      <diagonal/>
    </border>
    <border>
      <left style="thin">
        <color indexed="9"/>
      </left>
      <right style="hair">
        <color indexed="22"/>
      </right>
      <top/>
      <bottom style="thin">
        <color indexed="9"/>
      </bottom>
      <diagonal/>
    </border>
    <border>
      <left/>
      <right/>
      <top/>
      <bottom style="thin">
        <color indexed="9"/>
      </bottom>
      <diagonal/>
    </border>
    <border>
      <left style="thin">
        <color indexed="9"/>
      </left>
      <right/>
      <top/>
      <bottom style="thin">
        <color indexed="9"/>
      </bottom>
      <diagonal/>
    </border>
    <border>
      <left/>
      <right/>
      <top style="thin">
        <color indexed="9"/>
      </top>
      <bottom style="thin">
        <color indexed="9"/>
      </bottom>
      <diagonal/>
    </border>
    <border>
      <left style="thin">
        <color indexed="9"/>
      </left>
      <right/>
      <top style="thin">
        <color indexed="9"/>
      </top>
      <bottom style="thin">
        <color indexed="9"/>
      </bottom>
      <diagonal/>
    </border>
    <border>
      <left style="thin">
        <color indexed="64"/>
      </left>
      <right style="thin">
        <color indexed="64"/>
      </right>
      <top style="thin">
        <color indexed="64"/>
      </top>
      <bottom style="double">
        <color rgb="FF0000FF"/>
      </bottom>
      <diagonal/>
    </border>
    <border>
      <left style="double">
        <color rgb="FF0000FF"/>
      </left>
      <right style="thin">
        <color indexed="64"/>
      </right>
      <top/>
      <bottom style="double">
        <color rgb="FF0000FF"/>
      </bottom>
      <diagonal/>
    </border>
    <border>
      <left style="double">
        <color rgb="FF0000FF"/>
      </left>
      <right style="thin">
        <color indexed="64"/>
      </right>
      <top/>
      <bottom/>
      <diagonal/>
    </border>
    <border>
      <left style="double">
        <color rgb="FF0000FF"/>
      </left>
      <right style="thin">
        <color indexed="64"/>
      </right>
      <top style="thin">
        <color indexed="64"/>
      </top>
      <bottom/>
      <diagonal/>
    </border>
    <border>
      <left style="thin">
        <color indexed="64"/>
      </left>
      <right style="double">
        <color rgb="FF0000FF"/>
      </right>
      <top/>
      <bottom style="thin">
        <color indexed="64"/>
      </bottom>
      <diagonal/>
    </border>
    <border>
      <left style="thin">
        <color indexed="64"/>
      </left>
      <right style="thin">
        <color indexed="64"/>
      </right>
      <top/>
      <bottom style="thin">
        <color indexed="64"/>
      </bottom>
      <diagonal/>
    </border>
    <border>
      <left style="double">
        <color rgb="FF0000FF"/>
      </left>
      <right style="thin">
        <color indexed="64"/>
      </right>
      <top/>
      <bottom style="thin">
        <color indexed="64"/>
      </bottom>
      <diagonal/>
    </border>
    <border>
      <left style="thin">
        <color indexed="64"/>
      </left>
      <right style="double">
        <color rgb="FF0000FF"/>
      </right>
      <top style="double">
        <color rgb="FF0000FF"/>
      </top>
      <bottom/>
      <diagonal/>
    </border>
    <border>
      <left style="thin">
        <color indexed="64"/>
      </left>
      <right style="thin">
        <color indexed="64"/>
      </right>
      <top style="double">
        <color rgb="FF0000FF"/>
      </top>
      <bottom/>
      <diagonal/>
    </border>
    <border>
      <left style="thin">
        <color indexed="64"/>
      </left>
      <right/>
      <top style="double">
        <color rgb="FF0000FF"/>
      </top>
      <bottom/>
      <diagonal/>
    </border>
    <border>
      <left style="double">
        <color rgb="FF0000FF"/>
      </left>
      <right style="thin">
        <color indexed="64"/>
      </right>
      <top style="double">
        <color rgb="FF0000FF"/>
      </top>
      <bottom/>
      <diagonal/>
    </border>
    <border>
      <left/>
      <right/>
      <top/>
      <bottom style="double">
        <color rgb="FF0000FF"/>
      </bottom>
      <diagonal/>
    </border>
    <border>
      <left/>
      <right/>
      <top style="double">
        <color rgb="FF0000FF"/>
      </top>
      <bottom/>
      <diagonal/>
    </border>
    <border>
      <left style="thin">
        <color indexed="64"/>
      </left>
      <right style="double">
        <color rgb="FF0000FF"/>
      </right>
      <top style="thin">
        <color indexed="64"/>
      </top>
      <bottom style="double">
        <color rgb="FF0000FF"/>
      </bottom>
      <diagonal/>
    </border>
    <border>
      <left style="double">
        <color rgb="FF0000FF"/>
      </left>
      <right style="thin">
        <color indexed="64"/>
      </right>
      <top style="thin">
        <color indexed="64"/>
      </top>
      <bottom style="double">
        <color rgb="FF0000FF"/>
      </bottom>
      <diagonal/>
    </border>
    <border>
      <left style="thin">
        <color indexed="64"/>
      </left>
      <right style="double">
        <color rgb="FF0000FF"/>
      </right>
      <top style="thin">
        <color indexed="64"/>
      </top>
      <bottom style="thin">
        <color indexed="64"/>
      </bottom>
      <diagonal/>
    </border>
    <border>
      <left style="double">
        <color rgb="FF0000FF"/>
      </left>
      <right style="thin">
        <color indexed="64"/>
      </right>
      <top style="thin">
        <color indexed="64"/>
      </top>
      <bottom style="thin">
        <color indexed="64"/>
      </bottom>
      <diagonal/>
    </border>
    <border>
      <left/>
      <right style="thin">
        <color indexed="64"/>
      </right>
      <top style="double">
        <color rgb="FF0000FF"/>
      </top>
      <bottom/>
      <diagonal/>
    </border>
    <border>
      <left/>
      <right style="thin">
        <color indexed="64"/>
      </right>
      <top/>
      <bottom style="double">
        <color rgb="FF0000FF"/>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hair">
        <color rgb="FF0066FF"/>
      </left>
      <right style="double">
        <color rgb="FF0066FF"/>
      </right>
      <top style="hair">
        <color rgb="FF0066FF"/>
      </top>
      <bottom style="double">
        <color rgb="FF0066FF"/>
      </bottom>
      <diagonal/>
    </border>
    <border>
      <left style="double">
        <color rgb="FF0066FF"/>
      </left>
      <right style="hair">
        <color rgb="FF0066FF"/>
      </right>
      <top style="hair">
        <color rgb="FF0066FF"/>
      </top>
      <bottom style="double">
        <color rgb="FF0066FF"/>
      </bottom>
      <diagonal/>
    </border>
    <border>
      <left/>
      <right style="hair">
        <color indexed="39"/>
      </right>
      <top style="hair">
        <color indexed="39"/>
      </top>
      <bottom style="double">
        <color indexed="39"/>
      </bottom>
      <diagonal/>
    </border>
    <border>
      <left style="hair">
        <color indexed="39"/>
      </left>
      <right/>
      <top style="hair">
        <color indexed="39"/>
      </top>
      <bottom style="double">
        <color indexed="39"/>
      </bottom>
      <diagonal/>
    </border>
    <border>
      <left style="hair">
        <color indexed="39"/>
      </left>
      <right style="hair">
        <color indexed="39"/>
      </right>
      <top style="hair">
        <color indexed="39"/>
      </top>
      <bottom style="double">
        <color indexed="39"/>
      </bottom>
      <diagonal/>
    </border>
    <border>
      <left style="double">
        <color indexed="39"/>
      </left>
      <right style="hair">
        <color indexed="39"/>
      </right>
      <top style="hair">
        <color indexed="39"/>
      </top>
      <bottom style="double">
        <color indexed="39"/>
      </bottom>
      <diagonal/>
    </border>
    <border>
      <left style="hair">
        <color rgb="FF0066FF"/>
      </left>
      <right style="double">
        <color rgb="FF0066FF"/>
      </right>
      <top/>
      <bottom style="hair">
        <color rgb="FF0066FF"/>
      </bottom>
      <diagonal/>
    </border>
    <border>
      <left style="double">
        <color rgb="FF0066FF"/>
      </left>
      <right style="hair">
        <color rgb="FF0066FF"/>
      </right>
      <top/>
      <bottom style="hair">
        <color rgb="FF0066FF"/>
      </bottom>
      <diagonal/>
    </border>
    <border>
      <left style="hair">
        <color indexed="39"/>
      </left>
      <right style="double">
        <color indexed="39"/>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hair">
        <color indexed="39"/>
      </bottom>
      <diagonal/>
    </border>
    <border>
      <left style="hair">
        <color indexed="39"/>
      </left>
      <right style="hair">
        <color indexed="39"/>
      </right>
      <top style="hair">
        <color indexed="39"/>
      </top>
      <bottom style="hair">
        <color indexed="39"/>
      </bottom>
      <diagonal/>
    </border>
    <border>
      <left style="double">
        <color indexed="39"/>
      </left>
      <right style="hair">
        <color indexed="39"/>
      </right>
      <top style="hair">
        <color indexed="39"/>
      </top>
      <bottom style="hair">
        <color indexed="39"/>
      </bottom>
      <diagonal/>
    </border>
    <border>
      <left style="hair">
        <color rgb="FF0066FF"/>
      </left>
      <right style="double">
        <color rgb="FF0066FF"/>
      </right>
      <top style="hair">
        <color rgb="FF0066FF"/>
      </top>
      <bottom/>
      <diagonal/>
    </border>
    <border>
      <left style="double">
        <color rgb="FF0066FF"/>
      </left>
      <right style="hair">
        <color rgb="FF0066FF"/>
      </right>
      <top style="hair">
        <color rgb="FF0066FF"/>
      </top>
      <bottom/>
      <diagonal/>
    </border>
    <border>
      <left style="hair">
        <color indexed="39"/>
      </left>
      <right style="hair">
        <color indexed="39"/>
      </right>
      <top style="hair">
        <color indexed="39"/>
      </top>
      <bottom/>
      <diagonal/>
    </border>
    <border>
      <left style="hair">
        <color indexed="39"/>
      </left>
      <right style="double">
        <color indexed="39"/>
      </right>
      <top/>
      <bottom style="hair">
        <color indexed="39"/>
      </bottom>
      <diagonal/>
    </border>
    <border>
      <left style="hair">
        <color indexed="39"/>
      </left>
      <right/>
      <top/>
      <bottom style="hair">
        <color indexed="39"/>
      </bottom>
      <diagonal/>
    </border>
    <border>
      <left style="hair">
        <color rgb="FF0066FF"/>
      </left>
      <right style="double">
        <color rgb="FF0066FF"/>
      </right>
      <top style="hair">
        <color indexed="12"/>
      </top>
      <bottom/>
      <diagonal/>
    </border>
    <border>
      <left style="double">
        <color rgb="FF0066FF"/>
      </left>
      <right style="hair">
        <color rgb="FF0066FF"/>
      </right>
      <top style="hair">
        <color indexed="12"/>
      </top>
      <bottom/>
      <diagonal/>
    </border>
    <border>
      <left/>
      <right style="double">
        <color indexed="39"/>
      </right>
      <top/>
      <bottom style="hair">
        <color indexed="39"/>
      </bottom>
      <diagonal/>
    </border>
    <border>
      <left style="double">
        <color indexed="39"/>
      </left>
      <right/>
      <top/>
      <bottom style="hair">
        <color indexed="39"/>
      </bottom>
      <diagonal/>
    </border>
    <border>
      <left style="hair">
        <color indexed="39"/>
      </left>
      <right style="hair">
        <color indexed="39"/>
      </right>
      <top/>
      <bottom style="hair">
        <color indexed="39"/>
      </bottom>
      <diagonal/>
    </border>
    <border>
      <left style="double">
        <color indexed="39"/>
      </left>
      <right style="hair">
        <color indexed="39"/>
      </right>
      <top/>
      <bottom style="hair">
        <color indexed="39"/>
      </bottom>
      <diagonal/>
    </border>
    <border>
      <left/>
      <right style="double">
        <color indexed="39"/>
      </right>
      <top style="double">
        <color indexed="39"/>
      </top>
      <bottom/>
      <diagonal/>
    </border>
    <border>
      <left style="double">
        <color indexed="39"/>
      </left>
      <right/>
      <top style="double">
        <color indexed="39"/>
      </top>
      <bottom/>
      <diagonal/>
    </border>
    <border>
      <left style="hair">
        <color indexed="39"/>
      </left>
      <right style="double">
        <color indexed="39"/>
      </right>
      <top style="double">
        <color indexed="39"/>
      </top>
      <bottom/>
      <diagonal/>
    </border>
    <border>
      <left style="hair">
        <color indexed="39"/>
      </left>
      <right style="hair">
        <color indexed="39"/>
      </right>
      <top style="double">
        <color indexed="39"/>
      </top>
      <bottom/>
      <diagonal/>
    </border>
    <border>
      <left/>
      <right style="hair">
        <color indexed="39"/>
      </right>
      <top style="double">
        <color indexed="39"/>
      </top>
      <bottom style="hair">
        <color indexed="39"/>
      </bottom>
      <diagonal/>
    </border>
    <border>
      <left style="hair">
        <color indexed="39"/>
      </left>
      <right/>
      <top style="double">
        <color indexed="39"/>
      </top>
      <bottom style="hair">
        <color indexed="39"/>
      </bottom>
      <diagonal/>
    </border>
    <border>
      <left style="double">
        <color indexed="39"/>
      </left>
      <right style="hair">
        <color indexed="39"/>
      </right>
      <top style="double">
        <color indexed="39"/>
      </top>
      <bottom/>
      <diagonal/>
    </border>
    <border>
      <left/>
      <right/>
      <top/>
      <bottom style="double">
        <color indexed="39"/>
      </bottom>
      <diagonal/>
    </border>
    <border>
      <left style="thin">
        <color indexed="64"/>
      </left>
      <right style="thin">
        <color indexed="64"/>
      </right>
      <top style="hair">
        <color indexed="64"/>
      </top>
      <bottom style="double">
        <color indexed="39"/>
      </bottom>
      <diagonal/>
    </border>
    <border>
      <left style="double">
        <color indexed="39"/>
      </left>
      <right style="thin">
        <color indexed="64"/>
      </right>
      <top style="hair">
        <color indexed="64"/>
      </top>
      <bottom style="double">
        <color indexed="39"/>
      </bottom>
      <diagonal/>
    </border>
    <border>
      <left style="thin">
        <color indexed="64"/>
      </left>
      <right style="thin">
        <color indexed="64"/>
      </right>
      <top style="double">
        <color indexed="39"/>
      </top>
      <bottom style="hair">
        <color indexed="64"/>
      </bottom>
      <diagonal/>
    </border>
    <border>
      <left style="double">
        <color indexed="39"/>
      </left>
      <right style="thin">
        <color indexed="64"/>
      </right>
      <top style="double">
        <color indexed="39"/>
      </top>
      <bottom style="hair">
        <color indexed="64"/>
      </bottom>
      <diagonal/>
    </border>
    <border>
      <left style="thin">
        <color indexed="64"/>
      </left>
      <right style="double">
        <color indexed="39"/>
      </right>
      <top style="hair">
        <color indexed="64"/>
      </top>
      <bottom style="double">
        <color indexed="39"/>
      </bottom>
      <diagonal/>
    </border>
    <border>
      <left style="thin">
        <color indexed="64"/>
      </left>
      <right style="double">
        <color indexed="39"/>
      </right>
      <top style="double">
        <color indexed="39"/>
      </top>
      <bottom style="hair">
        <color indexed="64"/>
      </bottom>
      <diagonal/>
    </border>
    <border>
      <left style="double">
        <color indexed="39"/>
      </left>
      <right style="thin">
        <color indexed="64"/>
      </right>
      <top/>
      <bottom style="double">
        <color indexed="39"/>
      </bottom>
      <diagonal/>
    </border>
    <border>
      <left style="thin">
        <color indexed="64"/>
      </left>
      <right style="thin">
        <color indexed="64"/>
      </right>
      <top style="hair">
        <color indexed="64"/>
      </top>
      <bottom style="hair">
        <color indexed="64"/>
      </bottom>
      <diagonal/>
    </border>
    <border>
      <left style="double">
        <color indexed="39"/>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top style="double">
        <color indexed="39"/>
      </top>
      <bottom style="hair">
        <color indexed="64"/>
      </bottom>
      <diagonal/>
    </border>
    <border>
      <left style="double">
        <color indexed="39"/>
      </left>
      <right style="double">
        <color indexed="39"/>
      </right>
      <top style="double">
        <color indexed="39"/>
      </top>
      <bottom style="double">
        <color indexed="39"/>
      </bottom>
      <diagonal/>
    </border>
    <border>
      <left style="double">
        <color rgb="FF0033CC"/>
      </left>
      <right style="double">
        <color indexed="12"/>
      </right>
      <top style="double">
        <color indexed="12"/>
      </top>
      <bottom style="double">
        <color rgb="FF0033CC"/>
      </bottom>
      <diagonal/>
    </border>
    <border>
      <left style="thin">
        <color indexed="64"/>
      </left>
      <right style="double">
        <color rgb="FF0000FF"/>
      </right>
      <top/>
      <bottom style="double">
        <color rgb="FF0033CC"/>
      </bottom>
      <diagonal/>
    </border>
    <border>
      <left style="thin">
        <color indexed="64"/>
      </left>
      <right style="thin">
        <color indexed="64"/>
      </right>
      <top/>
      <bottom style="double">
        <color rgb="FF0033CC"/>
      </bottom>
      <diagonal/>
    </border>
    <border>
      <left style="double">
        <color rgb="FF0000FF"/>
      </left>
      <right style="thin">
        <color indexed="64"/>
      </right>
      <top/>
      <bottom style="double">
        <color rgb="FF0033CC"/>
      </bottom>
      <diagonal/>
    </border>
    <border>
      <left style="thin">
        <color indexed="64"/>
      </left>
      <right style="double">
        <color rgb="FF0000FF"/>
      </right>
      <top style="hair">
        <color indexed="64"/>
      </top>
      <bottom style="hair">
        <color indexed="64"/>
      </bottom>
      <diagonal/>
    </border>
    <border>
      <left style="double">
        <color rgb="FF0000FF"/>
      </left>
      <right style="thin">
        <color indexed="64"/>
      </right>
      <top style="hair">
        <color indexed="64"/>
      </top>
      <bottom style="hair">
        <color indexed="64"/>
      </bottom>
      <diagonal/>
    </border>
    <border>
      <left style="thin">
        <color indexed="64"/>
      </left>
      <right style="double">
        <color rgb="FF0033CC"/>
      </right>
      <top style="thin">
        <color theme="1"/>
      </top>
      <bottom style="double">
        <color rgb="FF0033CC"/>
      </bottom>
      <diagonal/>
    </border>
    <border>
      <left style="thin">
        <color indexed="64"/>
      </left>
      <right style="thin">
        <color indexed="64"/>
      </right>
      <top style="thin">
        <color theme="1"/>
      </top>
      <bottom style="hair">
        <color indexed="64"/>
      </bottom>
      <diagonal/>
    </border>
    <border>
      <left style="thin">
        <color indexed="64"/>
      </left>
      <right style="thin">
        <color indexed="64"/>
      </right>
      <top style="thin">
        <color theme="1"/>
      </top>
      <bottom/>
      <diagonal/>
    </border>
    <border>
      <left style="thin">
        <color indexed="64"/>
      </left>
      <right style="thin">
        <color indexed="64"/>
      </right>
      <top style="thin">
        <color indexed="64"/>
      </top>
      <bottom style="double">
        <color indexed="39"/>
      </bottom>
      <diagonal/>
    </border>
    <border>
      <left style="thin">
        <color indexed="64"/>
      </left>
      <right style="thin">
        <color indexed="64"/>
      </right>
      <top style="thin">
        <color theme="1"/>
      </top>
      <bottom style="double">
        <color rgb="FF0033CC"/>
      </bottom>
      <diagonal/>
    </border>
    <border>
      <left style="double">
        <color rgb="FF0033CC"/>
      </left>
      <right style="thin">
        <color indexed="64"/>
      </right>
      <top style="thin">
        <color theme="1"/>
      </top>
      <bottom style="double">
        <color rgb="FF0033CC"/>
      </bottom>
      <diagonal/>
    </border>
    <border>
      <left style="thin">
        <color indexed="64"/>
      </left>
      <right style="double">
        <color rgb="FF0033CC"/>
      </right>
      <top style="double">
        <color indexed="12"/>
      </top>
      <bottom style="thin">
        <color theme="1"/>
      </bottom>
      <diagonal/>
    </border>
    <border>
      <left style="thin">
        <color indexed="64"/>
      </left>
      <right style="thin">
        <color indexed="64"/>
      </right>
      <top style="double">
        <color indexed="12"/>
      </top>
      <bottom style="thin">
        <color theme="1"/>
      </bottom>
      <diagonal/>
    </border>
    <border>
      <left style="thin">
        <color indexed="64"/>
      </left>
      <right style="thin">
        <color indexed="64"/>
      </right>
      <top style="double">
        <color indexed="39"/>
      </top>
      <bottom/>
      <diagonal/>
    </border>
    <border>
      <left style="double">
        <color rgb="FF0033CC"/>
      </left>
      <right style="thin">
        <color indexed="64"/>
      </right>
      <top style="double">
        <color indexed="12"/>
      </top>
      <bottom style="thin">
        <color theme="1"/>
      </bottom>
      <diagonal/>
    </border>
    <border>
      <left style="thin">
        <color indexed="64"/>
      </left>
      <right style="double">
        <color indexed="39"/>
      </right>
      <top style="thin">
        <color indexed="64"/>
      </top>
      <bottom style="double">
        <color indexed="39"/>
      </bottom>
      <diagonal/>
    </border>
    <border>
      <left/>
      <right style="thin">
        <color indexed="64"/>
      </right>
      <top style="thin">
        <color indexed="64"/>
      </top>
      <bottom style="double">
        <color indexed="39"/>
      </bottom>
      <diagonal/>
    </border>
    <border>
      <left style="hair">
        <color indexed="39"/>
      </left>
      <right style="thin">
        <color indexed="64"/>
      </right>
      <top/>
      <bottom style="double">
        <color indexed="39"/>
      </bottom>
      <diagonal/>
    </border>
    <border>
      <left style="double">
        <color indexed="39"/>
      </left>
      <right style="hair">
        <color indexed="39"/>
      </right>
      <top/>
      <bottom style="double">
        <color indexed="39"/>
      </bottom>
      <diagonal/>
    </border>
    <border>
      <left style="double">
        <color indexed="39"/>
      </left>
      <right style="double">
        <color indexed="39"/>
      </right>
      <top style="double">
        <color indexed="39"/>
      </top>
      <bottom/>
      <diagonal/>
    </border>
    <border>
      <left/>
      <right style="hair">
        <color indexed="39"/>
      </right>
      <top style="double">
        <color indexed="39"/>
      </top>
      <bottom/>
      <diagonal/>
    </border>
    <border>
      <left style="hair">
        <color indexed="39"/>
      </left>
      <right style="thin">
        <color indexed="64"/>
      </right>
      <top style="double">
        <color indexed="39"/>
      </top>
      <bottom/>
      <diagonal/>
    </border>
    <border>
      <left style="hair">
        <color indexed="39"/>
      </left>
      <right style="hair">
        <color indexed="39"/>
      </right>
      <top style="double">
        <color indexed="39"/>
      </top>
      <bottom style="hair">
        <color indexed="39"/>
      </bottom>
      <diagonal/>
    </border>
    <border>
      <left style="hair">
        <color indexed="39"/>
      </left>
      <right style="double">
        <color indexed="39"/>
      </right>
      <top style="double">
        <color indexed="39"/>
      </top>
      <bottom style="hair">
        <color indexed="39"/>
      </bottom>
      <diagonal/>
    </border>
    <border>
      <left style="double">
        <color indexed="39"/>
      </left>
      <right style="hair">
        <color indexed="39"/>
      </right>
      <top style="double">
        <color indexed="39"/>
      </top>
      <bottom style="hair">
        <color indexed="39"/>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double">
        <color indexed="39"/>
      </right>
      <top style="double">
        <color indexed="39"/>
      </top>
      <bottom style="thin">
        <color indexed="64"/>
      </bottom>
      <diagonal/>
    </border>
    <border>
      <left style="thin">
        <color indexed="64"/>
      </left>
      <right style="thin">
        <color indexed="64"/>
      </right>
      <top style="double">
        <color indexed="39"/>
      </top>
      <bottom style="thin">
        <color indexed="64"/>
      </bottom>
      <diagonal/>
    </border>
    <border>
      <left/>
      <right style="double">
        <color indexed="39"/>
      </right>
      <top style="thin">
        <color indexed="64"/>
      </top>
      <bottom style="double">
        <color indexed="39"/>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indexed="64"/>
      </left>
      <right style="thin">
        <color indexed="64"/>
      </right>
      <top style="thin">
        <color indexed="64"/>
      </top>
      <bottom style="double">
        <color rgb="FF0033CC"/>
      </bottom>
      <diagonal/>
    </border>
    <border>
      <left style="thin">
        <color indexed="64"/>
      </left>
      <right style="thin">
        <color indexed="64"/>
      </right>
      <top style="double">
        <color rgb="FF0033CC"/>
      </top>
      <bottom style="thin">
        <color indexed="64"/>
      </bottom>
      <diagonal/>
    </border>
    <border>
      <left style="hair">
        <color indexed="39"/>
      </left>
      <right style="double">
        <color indexed="39"/>
      </right>
      <top style="hair">
        <color indexed="39"/>
      </top>
      <bottom/>
      <diagonal/>
    </border>
    <border>
      <left style="hair">
        <color indexed="39"/>
      </left>
      <right style="double">
        <color indexed="39"/>
      </right>
      <top/>
      <bottom style="double">
        <color indexed="39"/>
      </bottom>
      <diagonal/>
    </border>
    <border>
      <left style="hair">
        <color indexed="39"/>
      </left>
      <right style="hair">
        <color indexed="39"/>
      </right>
      <top/>
      <bottom style="double">
        <color indexed="39"/>
      </bottom>
      <diagonal/>
    </border>
    <border>
      <left style="thin">
        <color indexed="64"/>
      </left>
      <right style="double">
        <color rgb="FF0033CC"/>
      </right>
      <top style="thin">
        <color indexed="64"/>
      </top>
      <bottom style="double">
        <color rgb="FF0033CC"/>
      </bottom>
      <diagonal/>
    </border>
    <border>
      <left style="double">
        <color rgb="FF0033CC"/>
      </left>
      <right style="thin">
        <color indexed="64"/>
      </right>
      <top style="thin">
        <color indexed="64"/>
      </top>
      <bottom style="double">
        <color rgb="FF0033CC"/>
      </bottom>
      <diagonal/>
    </border>
    <border>
      <left style="thin">
        <color indexed="64"/>
      </left>
      <right style="double">
        <color rgb="FF0033CC"/>
      </right>
      <top style="double">
        <color rgb="FF0033CC"/>
      </top>
      <bottom style="thin">
        <color indexed="64"/>
      </bottom>
      <diagonal/>
    </border>
    <border>
      <left style="double">
        <color rgb="FF0033CC"/>
      </left>
      <right style="thin">
        <color indexed="64"/>
      </right>
      <top style="double">
        <color rgb="FF0033CC"/>
      </top>
      <bottom style="thin">
        <color indexed="64"/>
      </bottom>
      <diagonal/>
    </border>
    <border>
      <left style="double">
        <color indexed="39"/>
      </left>
      <right style="thin">
        <color indexed="64"/>
      </right>
      <top style="double">
        <color indexed="39"/>
      </top>
      <bottom style="thin">
        <color indexed="64"/>
      </bottom>
      <diagonal/>
    </border>
    <border>
      <left style="double">
        <color indexed="39"/>
      </left>
      <right style="thin">
        <color indexed="64"/>
      </right>
      <top style="thin">
        <color indexed="64"/>
      </top>
      <bottom style="double">
        <color indexed="39"/>
      </bottom>
      <diagonal/>
    </border>
    <border>
      <left style="thin">
        <color indexed="64"/>
      </left>
      <right style="double">
        <color indexed="39"/>
      </right>
      <top style="thin">
        <color indexed="64"/>
      </top>
      <bottom style="hair">
        <color indexed="64"/>
      </bottom>
      <diagonal/>
    </border>
    <border>
      <left style="thin">
        <color indexed="64"/>
      </left>
      <right style="thin">
        <color indexed="64"/>
      </right>
      <top style="hair">
        <color indexed="39"/>
      </top>
      <bottom style="hair">
        <color indexed="64"/>
      </bottom>
      <diagonal/>
    </border>
    <border>
      <left style="thin">
        <color indexed="64"/>
      </left>
      <right style="thin">
        <color indexed="64"/>
      </right>
      <top style="hair">
        <color indexed="39"/>
      </top>
      <bottom style="hair">
        <color indexed="39"/>
      </bottom>
      <diagonal/>
    </border>
    <border>
      <left style="double">
        <color indexed="39"/>
      </left>
      <right style="thin">
        <color indexed="64"/>
      </right>
      <top style="hair">
        <color indexed="39"/>
      </top>
      <bottom style="hair">
        <color indexed="39"/>
      </bottom>
      <diagonal/>
    </border>
    <border>
      <left style="thin">
        <color indexed="64"/>
      </left>
      <right/>
      <top style="double">
        <color indexed="39"/>
      </top>
      <bottom style="hair">
        <color indexed="39"/>
      </bottom>
      <diagonal/>
    </border>
    <border>
      <left style="thin">
        <color indexed="64"/>
      </left>
      <right/>
      <top style="double">
        <color indexed="39"/>
      </top>
      <bottom/>
      <diagonal/>
    </border>
    <border>
      <left style="thin">
        <color indexed="64"/>
      </left>
      <right style="thin">
        <color indexed="64"/>
      </right>
      <top style="double">
        <color indexed="39"/>
      </top>
      <bottom style="hair">
        <color indexed="39"/>
      </bottom>
      <diagonal/>
    </border>
    <border>
      <left style="double">
        <color indexed="39"/>
      </left>
      <right style="thin">
        <color indexed="64"/>
      </right>
      <top style="double">
        <color indexed="39"/>
      </top>
      <bottom style="hair">
        <color indexed="39"/>
      </bottom>
      <diagonal/>
    </border>
    <border>
      <left style="double">
        <color indexed="39"/>
      </left>
      <right style="hair">
        <color indexed="39"/>
      </right>
      <top style="double">
        <color indexed="39"/>
      </top>
      <bottom style="double">
        <color indexed="39"/>
      </bottom>
      <diagonal/>
    </border>
    <border>
      <left/>
      <right style="double">
        <color rgb="FF0000FF"/>
      </right>
      <top style="dashed">
        <color indexed="12"/>
      </top>
      <bottom style="double">
        <color indexed="39"/>
      </bottom>
      <diagonal/>
    </border>
    <border>
      <left style="thin">
        <color indexed="64"/>
      </left>
      <right/>
      <top style="dashed">
        <color indexed="39"/>
      </top>
      <bottom style="double">
        <color indexed="39"/>
      </bottom>
      <diagonal/>
    </border>
    <border>
      <left style="thin">
        <color indexed="39"/>
      </left>
      <right style="thin">
        <color indexed="39"/>
      </right>
      <top style="dashed">
        <color indexed="39"/>
      </top>
      <bottom style="double">
        <color indexed="39"/>
      </bottom>
      <diagonal/>
    </border>
    <border>
      <left style="double">
        <color indexed="39"/>
      </left>
      <right style="thin">
        <color indexed="39"/>
      </right>
      <top style="dashed">
        <color indexed="39"/>
      </top>
      <bottom style="double">
        <color indexed="39"/>
      </bottom>
      <diagonal/>
    </border>
    <border>
      <left/>
      <right style="double">
        <color rgb="FF0000FF"/>
      </right>
      <top style="dashed">
        <color indexed="12"/>
      </top>
      <bottom style="dashed">
        <color indexed="39"/>
      </bottom>
      <diagonal/>
    </border>
    <border>
      <left style="thin">
        <color indexed="64"/>
      </left>
      <right/>
      <top style="dashed">
        <color indexed="39"/>
      </top>
      <bottom style="dashed">
        <color indexed="39"/>
      </bottom>
      <diagonal/>
    </border>
    <border>
      <left style="thin">
        <color indexed="39"/>
      </left>
      <right style="thin">
        <color indexed="39"/>
      </right>
      <top style="dashed">
        <color indexed="39"/>
      </top>
      <bottom style="dashed">
        <color indexed="39"/>
      </bottom>
      <diagonal/>
    </border>
    <border>
      <left style="double">
        <color indexed="39"/>
      </left>
      <right style="thin">
        <color indexed="39"/>
      </right>
      <top style="dashed">
        <color indexed="39"/>
      </top>
      <bottom style="dashed">
        <color indexed="39"/>
      </bottom>
      <diagonal/>
    </border>
    <border>
      <left/>
      <right style="double">
        <color indexed="39"/>
      </right>
      <top style="double">
        <color indexed="39"/>
      </top>
      <bottom style="dashed">
        <color indexed="39"/>
      </bottom>
      <diagonal/>
    </border>
    <border>
      <left style="thin">
        <color indexed="39"/>
      </left>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double">
        <color indexed="39"/>
      </left>
      <right style="thin">
        <color indexed="39"/>
      </right>
      <top style="double">
        <color indexed="39"/>
      </top>
      <bottom style="dashed">
        <color indexed="39"/>
      </bottom>
      <diagonal/>
    </border>
    <border>
      <left style="thin">
        <color indexed="64"/>
      </left>
      <right style="thin">
        <color indexed="64"/>
      </right>
      <top style="double">
        <color indexed="12"/>
      </top>
      <bottom style="thin">
        <color indexed="64"/>
      </bottom>
      <diagonal/>
    </border>
    <border>
      <left style="double">
        <color rgb="FF0000FF"/>
      </left>
      <right style="thin">
        <color indexed="64"/>
      </right>
      <top style="double">
        <color indexed="12"/>
      </top>
      <bottom style="thin">
        <color indexed="64"/>
      </bottom>
      <diagonal/>
    </border>
    <border>
      <left style="thin">
        <color rgb="FFFFFFFF"/>
      </left>
      <right style="thin">
        <color rgb="FFFFFFFF"/>
      </right>
      <top style="thick">
        <color rgb="FFFFFFFF"/>
      </top>
      <bottom style="thin">
        <color rgb="FFFFFFFF"/>
      </bottom>
      <diagonal/>
    </border>
    <border>
      <left/>
      <right style="thin">
        <color rgb="FFFFFFFF"/>
      </right>
      <top style="thick">
        <color rgb="FFFFFFFF"/>
      </top>
      <bottom style="thin">
        <color rgb="FFFFFFFF"/>
      </bottom>
      <diagonal/>
    </border>
    <border>
      <left/>
      <right/>
      <top style="thick">
        <color rgb="FFFFFFFF"/>
      </top>
      <bottom style="thin">
        <color rgb="FFFFFFFF"/>
      </bottom>
      <diagonal/>
    </border>
    <border>
      <left style="thin">
        <color rgb="FFFFFFFF"/>
      </left>
      <right/>
      <top style="thick">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bottom style="thick">
        <color rgb="FFFFFFFF"/>
      </bottom>
      <diagonal/>
    </border>
    <border>
      <left/>
      <right style="thin">
        <color rgb="FFFFFFFF"/>
      </right>
      <top/>
      <bottom style="thick">
        <color rgb="FFFFFFFF"/>
      </bottom>
      <diagonal/>
    </border>
    <border>
      <left/>
      <right/>
      <top/>
      <bottom style="thick">
        <color rgb="FFFFFFFF"/>
      </bottom>
      <diagonal/>
    </border>
    <border>
      <left style="thin">
        <color rgb="FFFFFFFF"/>
      </left>
      <right/>
      <top/>
      <bottom style="thick">
        <color rgb="FFFFFFFF"/>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9"/>
      </right>
      <top style="thin">
        <color indexed="9"/>
      </top>
      <bottom style="thin">
        <color indexed="9"/>
      </bottom>
      <diagonal/>
    </border>
    <border>
      <left/>
      <right style="thin">
        <color theme="0"/>
      </right>
      <top style="thin">
        <color indexed="9"/>
      </top>
      <bottom style="thin">
        <color indexed="9"/>
      </bottom>
      <diagonal/>
    </border>
    <border>
      <left style="thin">
        <color indexed="9"/>
      </left>
      <right style="thin">
        <color indexed="9"/>
      </right>
      <top style="thin">
        <color theme="0"/>
      </top>
      <bottom style="thin">
        <color indexed="9"/>
      </bottom>
      <diagonal/>
    </border>
    <border>
      <left style="thin">
        <color indexed="9"/>
      </left>
      <right/>
      <top/>
      <bottom style="thin">
        <color theme="0"/>
      </bottom>
      <diagonal/>
    </border>
    <border>
      <left style="thin">
        <color indexed="9"/>
      </left>
      <right/>
      <top style="thin">
        <color theme="0"/>
      </top>
      <bottom style="thin">
        <color theme="0"/>
      </bottom>
      <diagonal/>
    </border>
    <border>
      <left style="hair">
        <color indexed="39"/>
      </left>
      <right style="double">
        <color indexed="39"/>
      </right>
      <top/>
      <bottom/>
      <diagonal/>
    </border>
    <border>
      <left style="hair">
        <color indexed="64"/>
      </left>
      <right style="hair">
        <color indexed="64"/>
      </right>
      <top style="double">
        <color indexed="39"/>
      </top>
      <bottom style="double">
        <color indexed="39"/>
      </bottom>
      <diagonal/>
    </border>
    <border>
      <left style="hair">
        <color indexed="64"/>
      </left>
      <right/>
      <top style="double">
        <color indexed="39"/>
      </top>
      <bottom style="double">
        <color indexed="39"/>
      </bottom>
      <diagonal/>
    </border>
    <border>
      <left/>
      <right style="double">
        <color indexed="39"/>
      </right>
      <top style="double">
        <color indexed="39"/>
      </top>
      <bottom style="double">
        <color indexed="39"/>
      </bottom>
      <diagonal/>
    </border>
    <border>
      <left/>
      <right style="thin">
        <color indexed="64"/>
      </right>
      <top style="thin">
        <color indexed="64"/>
      </top>
      <bottom style="double">
        <color rgb="FF0066FF"/>
      </bottom>
      <diagonal/>
    </border>
    <border>
      <left style="thin">
        <color indexed="64"/>
      </left>
      <right style="thin">
        <color indexed="64"/>
      </right>
      <top style="hair">
        <color rgb="FF0066FF"/>
      </top>
      <bottom style="double">
        <color rgb="FF0000FF"/>
      </bottom>
      <diagonal/>
    </border>
    <border>
      <left style="thin">
        <color indexed="64"/>
      </left>
      <right style="thin">
        <color indexed="64"/>
      </right>
      <top style="thin">
        <color indexed="64"/>
      </top>
      <bottom style="double">
        <color rgb="FF0066FF"/>
      </bottom>
      <diagonal/>
    </border>
    <border>
      <left style="mediumDashDotDot">
        <color indexed="64"/>
      </left>
      <right/>
      <top style="mediumDashDotDot">
        <color indexed="64"/>
      </top>
      <bottom/>
      <diagonal/>
    </border>
    <border>
      <left/>
      <right/>
      <top style="mediumDashDotDot">
        <color indexed="64"/>
      </top>
      <bottom/>
      <diagonal/>
    </border>
    <border>
      <left/>
      <right style="mediumDashDotDot">
        <color indexed="64"/>
      </right>
      <top style="mediumDashDotDot">
        <color indexed="64"/>
      </top>
      <bottom/>
      <diagonal/>
    </border>
    <border>
      <left style="mediumDashDotDot">
        <color indexed="64"/>
      </left>
      <right/>
      <top/>
      <bottom/>
      <diagonal/>
    </border>
    <border>
      <left/>
      <right style="mediumDashDotDot">
        <color indexed="64"/>
      </right>
      <top/>
      <bottom/>
      <diagonal/>
    </border>
    <border>
      <left/>
      <right style="thin">
        <color theme="0"/>
      </right>
      <top/>
      <bottom/>
      <diagonal/>
    </border>
    <border>
      <left style="hair">
        <color indexed="64"/>
      </left>
      <right style="double">
        <color rgb="FF0000FF"/>
      </right>
      <top style="double">
        <color indexed="39"/>
      </top>
      <bottom style="hair">
        <color indexed="64"/>
      </bottom>
      <diagonal/>
    </border>
    <border>
      <left style="hair">
        <color indexed="64"/>
      </left>
      <right style="double">
        <color rgb="FF0000FF"/>
      </right>
      <top style="hair">
        <color indexed="64"/>
      </top>
      <bottom style="hair">
        <color indexed="64"/>
      </bottom>
      <diagonal/>
    </border>
    <border>
      <left style="hair">
        <color indexed="64"/>
      </left>
      <right style="double">
        <color rgb="FF0000FF"/>
      </right>
      <top style="hair">
        <color indexed="64"/>
      </top>
      <bottom style="double">
        <color indexed="39"/>
      </bottom>
      <diagonal/>
    </border>
    <border>
      <left style="thin">
        <color indexed="64"/>
      </left>
      <right style="double">
        <color rgb="FF0000FF"/>
      </right>
      <top style="double">
        <color indexed="39"/>
      </top>
      <bottom style="hair">
        <color indexed="64"/>
      </bottom>
      <diagonal/>
    </border>
    <border>
      <left style="thin">
        <color indexed="64"/>
      </left>
      <right style="double">
        <color rgb="FF0000FF"/>
      </right>
      <top style="hair">
        <color indexed="64"/>
      </top>
      <bottom style="double">
        <color indexed="39"/>
      </bottom>
      <diagonal/>
    </border>
    <border>
      <left/>
      <right/>
      <top style="double">
        <color indexed="39"/>
      </top>
      <bottom/>
      <diagonal/>
    </border>
    <border>
      <left style="double">
        <color theme="0"/>
      </left>
      <right style="double">
        <color theme="0"/>
      </right>
      <top/>
      <bottom style="double">
        <color theme="0"/>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double">
        <color indexed="64"/>
      </right>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thin">
        <color theme="1"/>
      </right>
      <top style="thin">
        <color indexed="64"/>
      </top>
      <bottom style="double">
        <color indexed="64"/>
      </bottom>
      <diagonal/>
    </border>
    <border>
      <left style="thin">
        <color theme="1"/>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thin">
        <color indexed="64"/>
      </right>
      <top style="thin">
        <color indexed="64"/>
      </top>
      <bottom/>
      <diagonal/>
    </border>
    <border>
      <left style="double">
        <color indexed="64"/>
      </left>
      <right style="thin">
        <color theme="1"/>
      </right>
      <top style="thin">
        <color theme="1"/>
      </top>
      <bottom style="double">
        <color indexed="64"/>
      </bottom>
      <diagonal/>
    </border>
    <border>
      <left style="thin">
        <color theme="1"/>
      </left>
      <right style="thin">
        <color theme="1"/>
      </right>
      <top style="thin">
        <color theme="1"/>
      </top>
      <bottom style="double">
        <color indexed="64"/>
      </bottom>
      <diagonal/>
    </border>
    <border>
      <left style="thin">
        <color indexed="64"/>
      </left>
      <right/>
      <top style="thin">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theme="0"/>
      </left>
      <right/>
      <top/>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right style="double">
        <color rgb="FF0000FF"/>
      </right>
      <top/>
      <bottom style="thin">
        <color indexed="64"/>
      </bottom>
      <diagonal/>
    </border>
    <border>
      <left/>
      <right style="double">
        <color indexed="39"/>
      </right>
      <top/>
      <bottom style="double">
        <color indexed="39"/>
      </bottom>
      <diagonal/>
    </border>
  </borders>
  <cellStyleXfs count="324">
    <xf numFmtId="0" fontId="0" fillId="0" borderId="0"/>
    <xf numFmtId="0" fontId="2" fillId="0" borderId="0">
      <alignment vertical="center"/>
    </xf>
    <xf numFmtId="0" fontId="7" fillId="0" borderId="0"/>
    <xf numFmtId="0" fontId="9" fillId="4" borderId="0" applyNumberFormat="0" applyBorder="0" applyAlignment="0" applyProtection="0"/>
    <xf numFmtId="0" fontId="20" fillId="0" borderId="0"/>
    <xf numFmtId="0" fontId="27" fillId="0" borderId="0"/>
    <xf numFmtId="0" fontId="27" fillId="0" borderId="0">
      <alignment vertical="center"/>
    </xf>
    <xf numFmtId="0" fontId="27" fillId="0" borderId="0"/>
    <xf numFmtId="0" fontId="27" fillId="0" borderId="0">
      <alignment vertical="center"/>
    </xf>
    <xf numFmtId="0" fontId="27" fillId="0" borderId="0"/>
    <xf numFmtId="0" fontId="27" fillId="0" borderId="0">
      <alignment vertical="center"/>
    </xf>
    <xf numFmtId="0" fontId="28" fillId="0" borderId="0"/>
    <xf numFmtId="0" fontId="28" fillId="0" borderId="0">
      <alignment vertical="center"/>
    </xf>
    <xf numFmtId="0" fontId="29" fillId="17" borderId="0" applyNumberFormat="0" applyBorder="0" applyAlignment="0" applyProtection="0"/>
    <xf numFmtId="0" fontId="29" fillId="18" borderId="0" applyNumberFormat="0" applyBorder="0" applyAlignment="0" applyProtection="0">
      <alignment vertical="center"/>
    </xf>
    <xf numFmtId="0" fontId="29" fillId="19" borderId="0" applyNumberFormat="0" applyBorder="0" applyAlignment="0" applyProtection="0"/>
    <xf numFmtId="0" fontId="29" fillId="20" borderId="0" applyNumberFormat="0" applyBorder="0" applyAlignment="0" applyProtection="0">
      <alignment vertical="center"/>
    </xf>
    <xf numFmtId="0" fontId="29" fillId="21" borderId="0" applyNumberFormat="0" applyBorder="0" applyAlignment="0" applyProtection="0"/>
    <xf numFmtId="0" fontId="29" fillId="22" borderId="0" applyNumberFormat="0" applyBorder="0" applyAlignment="0" applyProtection="0">
      <alignment vertical="center"/>
    </xf>
    <xf numFmtId="0" fontId="29" fillId="23" borderId="0" applyNumberFormat="0" applyBorder="0" applyAlignment="0" applyProtection="0"/>
    <xf numFmtId="0" fontId="29" fillId="24" borderId="0" applyNumberFormat="0" applyBorder="0" applyAlignment="0" applyProtection="0">
      <alignment vertical="center"/>
    </xf>
    <xf numFmtId="0" fontId="29" fillId="25" borderId="0" applyNumberFormat="0" applyBorder="0" applyAlignment="0" applyProtection="0"/>
    <xf numFmtId="0" fontId="29" fillId="26" borderId="0" applyNumberFormat="0" applyBorder="0" applyAlignment="0" applyProtection="0">
      <alignment vertical="center"/>
    </xf>
    <xf numFmtId="0" fontId="29" fillId="27" borderId="0" applyNumberFormat="0" applyBorder="0" applyAlignment="0" applyProtection="0"/>
    <xf numFmtId="0" fontId="29" fillId="28" borderId="0" applyNumberFormat="0" applyBorder="0" applyAlignment="0" applyProtection="0">
      <alignment vertical="center"/>
    </xf>
    <xf numFmtId="0" fontId="21" fillId="18" borderId="0" applyNumberFormat="0" applyBorder="0" applyAlignment="0" applyProtection="0">
      <alignment vertical="center"/>
    </xf>
    <xf numFmtId="0" fontId="21" fillId="20" borderId="0" applyNumberFormat="0" applyBorder="0" applyAlignment="0" applyProtection="0">
      <alignment vertical="center"/>
    </xf>
    <xf numFmtId="0" fontId="21" fillId="22" borderId="0" applyNumberFormat="0" applyBorder="0" applyAlignment="0" applyProtection="0">
      <alignment vertical="center"/>
    </xf>
    <xf numFmtId="0" fontId="21" fillId="24" borderId="0" applyNumberFormat="0" applyBorder="0" applyAlignment="0" applyProtection="0">
      <alignment vertical="center"/>
    </xf>
    <xf numFmtId="0" fontId="21" fillId="26" borderId="0" applyNumberFormat="0" applyBorder="0" applyAlignment="0" applyProtection="0">
      <alignment vertical="center"/>
    </xf>
    <xf numFmtId="0" fontId="21" fillId="28" borderId="0" applyNumberFormat="0" applyBorder="0" applyAlignment="0" applyProtection="0">
      <alignment vertical="center"/>
    </xf>
    <xf numFmtId="0" fontId="29" fillId="29" borderId="0" applyNumberFormat="0" applyBorder="0" applyAlignment="0" applyProtection="0"/>
    <xf numFmtId="0" fontId="29" fillId="9" borderId="0" applyNumberFormat="0" applyBorder="0" applyAlignment="0" applyProtection="0">
      <alignment vertical="center"/>
    </xf>
    <xf numFmtId="0" fontId="29" fillId="30" borderId="0" applyNumberFormat="0" applyBorder="0" applyAlignment="0" applyProtection="0"/>
    <xf numFmtId="0" fontId="29" fillId="31" borderId="0" applyNumberFormat="0" applyBorder="0" applyAlignment="0" applyProtection="0">
      <alignment vertical="center"/>
    </xf>
    <xf numFmtId="0" fontId="29" fillId="32" borderId="0" applyNumberFormat="0" applyBorder="0" applyAlignment="0" applyProtection="0"/>
    <xf numFmtId="0" fontId="29" fillId="12" borderId="0" applyNumberFormat="0" applyBorder="0" applyAlignment="0" applyProtection="0">
      <alignment vertical="center"/>
    </xf>
    <xf numFmtId="0" fontId="29" fillId="23" borderId="0" applyNumberFormat="0" applyBorder="0" applyAlignment="0" applyProtection="0"/>
    <xf numFmtId="0" fontId="29" fillId="24" borderId="0" applyNumberFormat="0" applyBorder="0" applyAlignment="0" applyProtection="0">
      <alignment vertical="center"/>
    </xf>
    <xf numFmtId="0" fontId="29" fillId="29" borderId="0" applyNumberFormat="0" applyBorder="0" applyAlignment="0" applyProtection="0"/>
    <xf numFmtId="0" fontId="29" fillId="9" borderId="0" applyNumberFormat="0" applyBorder="0" applyAlignment="0" applyProtection="0">
      <alignment vertical="center"/>
    </xf>
    <xf numFmtId="0" fontId="29" fillId="33" borderId="0" applyNumberFormat="0" applyBorder="0" applyAlignment="0" applyProtection="0"/>
    <xf numFmtId="0" fontId="29" fillId="34" borderId="0" applyNumberFormat="0" applyBorder="0" applyAlignment="0" applyProtection="0">
      <alignment vertical="center"/>
    </xf>
    <xf numFmtId="0" fontId="21" fillId="9" borderId="0" applyNumberFormat="0" applyBorder="0" applyAlignment="0" applyProtection="0">
      <alignment vertical="center"/>
    </xf>
    <xf numFmtId="0" fontId="21" fillId="31" borderId="0" applyNumberFormat="0" applyBorder="0" applyAlignment="0" applyProtection="0">
      <alignment vertical="center"/>
    </xf>
    <xf numFmtId="0" fontId="21" fillId="12" borderId="0" applyNumberFormat="0" applyBorder="0" applyAlignment="0" applyProtection="0">
      <alignment vertical="center"/>
    </xf>
    <xf numFmtId="0" fontId="21" fillId="24" borderId="0" applyNumberFormat="0" applyBorder="0" applyAlignment="0" applyProtection="0">
      <alignment vertical="center"/>
    </xf>
    <xf numFmtId="0" fontId="21" fillId="9" borderId="0" applyNumberFormat="0" applyBorder="0" applyAlignment="0" applyProtection="0">
      <alignment vertical="center"/>
    </xf>
    <xf numFmtId="0" fontId="21" fillId="34" borderId="0" applyNumberFormat="0" applyBorder="0" applyAlignment="0" applyProtection="0">
      <alignment vertical="center"/>
    </xf>
    <xf numFmtId="0" fontId="9" fillId="35" borderId="0" applyNumberFormat="0" applyBorder="0" applyAlignment="0" applyProtection="0"/>
    <xf numFmtId="0" fontId="9" fillId="8" borderId="0" applyNumberFormat="0" applyBorder="0" applyAlignment="0" applyProtection="0">
      <alignment vertical="center"/>
    </xf>
    <xf numFmtId="0" fontId="9" fillId="30" borderId="0" applyNumberFormat="0" applyBorder="0" applyAlignment="0" applyProtection="0"/>
    <xf numFmtId="0" fontId="9" fillId="31" borderId="0" applyNumberFormat="0" applyBorder="0" applyAlignment="0" applyProtection="0">
      <alignment vertical="center"/>
    </xf>
    <xf numFmtId="0" fontId="9" fillId="32" borderId="0" applyNumberFormat="0" applyBorder="0" applyAlignment="0" applyProtection="0"/>
    <xf numFmtId="0" fontId="9" fillId="12" borderId="0" applyNumberFormat="0" applyBorder="0" applyAlignment="0" applyProtection="0">
      <alignment vertical="center"/>
    </xf>
    <xf numFmtId="0" fontId="9" fillId="36" borderId="0" applyNumberFormat="0" applyBorder="0" applyAlignment="0" applyProtection="0"/>
    <xf numFmtId="0" fontId="9" fillId="37" borderId="0" applyNumberFormat="0" applyBorder="0" applyAlignment="0" applyProtection="0">
      <alignment vertical="center"/>
    </xf>
    <xf numFmtId="0" fontId="9" fillId="38" borderId="0" applyNumberFormat="0" applyBorder="0" applyAlignment="0" applyProtection="0"/>
    <xf numFmtId="0" fontId="9" fillId="39" borderId="0" applyNumberFormat="0" applyBorder="0" applyAlignment="0" applyProtection="0">
      <alignment vertical="center"/>
    </xf>
    <xf numFmtId="0" fontId="9" fillId="40" borderId="0" applyNumberFormat="0" applyBorder="0" applyAlignment="0" applyProtection="0"/>
    <xf numFmtId="0" fontId="9" fillId="41" borderId="0" applyNumberFormat="0" applyBorder="0" applyAlignment="0" applyProtection="0">
      <alignment vertical="center"/>
    </xf>
    <xf numFmtId="0" fontId="30" fillId="8" borderId="0" applyNumberFormat="0" applyBorder="0" applyAlignment="0" applyProtection="0">
      <alignment vertical="center"/>
    </xf>
    <xf numFmtId="0" fontId="30" fillId="31" borderId="0" applyNumberFormat="0" applyBorder="0" applyAlignment="0" applyProtection="0">
      <alignment vertical="center"/>
    </xf>
    <xf numFmtId="0" fontId="30" fillId="12" borderId="0" applyNumberFormat="0" applyBorder="0" applyAlignment="0" applyProtection="0">
      <alignment vertical="center"/>
    </xf>
    <xf numFmtId="0" fontId="30" fillId="37" borderId="0" applyNumberFormat="0" applyBorder="0" applyAlignment="0" applyProtection="0">
      <alignment vertical="center"/>
    </xf>
    <xf numFmtId="0" fontId="30" fillId="39" borderId="0" applyNumberFormat="0" applyBorder="0" applyAlignment="0" applyProtection="0">
      <alignment vertical="center"/>
    </xf>
    <xf numFmtId="0" fontId="30" fillId="41" borderId="0" applyNumberFormat="0" applyBorder="0" applyAlignment="0" applyProtection="0">
      <alignment vertical="center"/>
    </xf>
    <xf numFmtId="0" fontId="9" fillId="42" borderId="0" applyNumberFormat="0" applyBorder="0" applyAlignment="0" applyProtection="0"/>
    <xf numFmtId="0" fontId="29" fillId="43" borderId="0" applyNumberFormat="0" applyBorder="0" applyAlignment="0" applyProtection="0"/>
    <xf numFmtId="0" fontId="29" fillId="43" borderId="0" applyNumberFormat="0" applyBorder="0" applyAlignment="0" applyProtection="0">
      <alignment vertical="center"/>
    </xf>
    <xf numFmtId="0" fontId="29" fillId="43" borderId="0" applyNumberFormat="0" applyBorder="0" applyAlignment="0" applyProtection="0"/>
    <xf numFmtId="0" fontId="29" fillId="43" borderId="0" applyNumberFormat="0" applyBorder="0" applyAlignment="0" applyProtection="0">
      <alignment vertical="center"/>
    </xf>
    <xf numFmtId="0" fontId="9" fillId="44" borderId="0" applyNumberFormat="0" applyBorder="0" applyAlignment="0" applyProtection="0"/>
    <xf numFmtId="0" fontId="9" fillId="44" borderId="0" applyNumberFormat="0" applyBorder="0" applyAlignment="0" applyProtection="0">
      <alignment vertical="center"/>
    </xf>
    <xf numFmtId="0" fontId="9" fillId="42" borderId="0" applyNumberFormat="0" applyBorder="0" applyAlignment="0" applyProtection="0">
      <alignment vertical="center"/>
    </xf>
    <xf numFmtId="0" fontId="29" fillId="45" borderId="0" applyNumberFormat="0" applyBorder="0" applyAlignment="0" applyProtection="0"/>
    <xf numFmtId="0" fontId="29" fillId="45" borderId="0" applyNumberFormat="0" applyBorder="0" applyAlignment="0" applyProtection="0">
      <alignment vertical="center"/>
    </xf>
    <xf numFmtId="0" fontId="29" fillId="46" borderId="0" applyNumberFormat="0" applyBorder="0" applyAlignment="0" applyProtection="0"/>
    <xf numFmtId="0" fontId="29" fillId="46" borderId="0" applyNumberFormat="0" applyBorder="0" applyAlignment="0" applyProtection="0">
      <alignment vertical="center"/>
    </xf>
    <xf numFmtId="0" fontId="9" fillId="47" borderId="0" applyNumberFormat="0" applyBorder="0" applyAlignment="0" applyProtection="0"/>
    <xf numFmtId="0" fontId="9" fillId="47" borderId="0" applyNumberFormat="0" applyBorder="0" applyAlignment="0" applyProtection="0">
      <alignment vertical="center"/>
    </xf>
    <xf numFmtId="0" fontId="9" fillId="4" borderId="0" applyNumberFormat="0" applyBorder="0" applyAlignment="0" applyProtection="0">
      <alignment vertical="center"/>
    </xf>
    <xf numFmtId="0" fontId="9" fillId="48" borderId="0" applyNumberFormat="0" applyBorder="0" applyAlignment="0" applyProtection="0"/>
    <xf numFmtId="0" fontId="9" fillId="47" borderId="0" applyNumberFormat="0" applyBorder="0" applyAlignment="0" applyProtection="0"/>
    <xf numFmtId="0" fontId="29" fillId="45" borderId="0" applyNumberFormat="0" applyBorder="0" applyAlignment="0" applyProtection="0"/>
    <xf numFmtId="0" fontId="29" fillId="45" borderId="0" applyNumberFormat="0" applyBorder="0" applyAlignment="0" applyProtection="0">
      <alignment vertical="center"/>
    </xf>
    <xf numFmtId="0" fontId="29" fillId="49" borderId="0" applyNumberFormat="0" applyBorder="0" applyAlignment="0" applyProtection="0"/>
    <xf numFmtId="0" fontId="29" fillId="49" borderId="0" applyNumberFormat="0" applyBorder="0" applyAlignment="0" applyProtection="0">
      <alignment vertical="center"/>
    </xf>
    <xf numFmtId="0" fontId="9" fillId="46" borderId="0" applyNumberFormat="0" applyBorder="0" applyAlignment="0" applyProtection="0"/>
    <xf numFmtId="0" fontId="9" fillId="46" borderId="0" applyNumberFormat="0" applyBorder="0" applyAlignment="0" applyProtection="0">
      <alignment vertical="center"/>
    </xf>
    <xf numFmtId="0" fontId="9" fillId="47" borderId="0" applyNumberFormat="0" applyBorder="0" applyAlignment="0" applyProtection="0">
      <alignment vertical="center"/>
    </xf>
    <xf numFmtId="0" fontId="9" fillId="42" borderId="0" applyNumberFormat="0" applyBorder="0" applyAlignment="0" applyProtection="0"/>
    <xf numFmtId="0" fontId="29" fillId="43" borderId="0" applyNumberFormat="0" applyBorder="0" applyAlignment="0" applyProtection="0"/>
    <xf numFmtId="0" fontId="29" fillId="43" borderId="0" applyNumberFormat="0" applyBorder="0" applyAlignment="0" applyProtection="0">
      <alignment vertical="center"/>
    </xf>
    <xf numFmtId="0" fontId="29" fillId="46" borderId="0" applyNumberFormat="0" applyBorder="0" applyAlignment="0" applyProtection="0"/>
    <xf numFmtId="0" fontId="29" fillId="46" borderId="0" applyNumberFormat="0" applyBorder="0" applyAlignment="0" applyProtection="0">
      <alignment vertical="center"/>
    </xf>
    <xf numFmtId="0" fontId="9" fillId="46" borderId="0" applyNumberFormat="0" applyBorder="0" applyAlignment="0" applyProtection="0"/>
    <xf numFmtId="0" fontId="9" fillId="46" borderId="0" applyNumberFormat="0" applyBorder="0" applyAlignment="0" applyProtection="0">
      <alignment vertical="center"/>
    </xf>
    <xf numFmtId="0" fontId="9" fillId="42" borderId="0" applyNumberFormat="0" applyBorder="0" applyAlignment="0" applyProtection="0">
      <alignment vertical="center"/>
    </xf>
    <xf numFmtId="0" fontId="9" fillId="50"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alignment vertical="center"/>
    </xf>
    <xf numFmtId="0" fontId="29" fillId="43" borderId="0" applyNumberFormat="0" applyBorder="0" applyAlignment="0" applyProtection="0"/>
    <xf numFmtId="0" fontId="29" fillId="43" borderId="0" applyNumberFormat="0" applyBorder="0" applyAlignment="0" applyProtection="0">
      <alignment vertical="center"/>
    </xf>
    <xf numFmtId="0" fontId="9" fillId="44" borderId="0" applyNumberFormat="0" applyBorder="0" applyAlignment="0" applyProtection="0"/>
    <xf numFmtId="0" fontId="9" fillId="44" borderId="0" applyNumberFormat="0" applyBorder="0" applyAlignment="0" applyProtection="0">
      <alignment vertical="center"/>
    </xf>
    <xf numFmtId="0" fontId="9" fillId="50" borderId="0" applyNumberFormat="0" applyBorder="0" applyAlignment="0" applyProtection="0">
      <alignment vertical="center"/>
    </xf>
    <xf numFmtId="0" fontId="9" fillId="52" borderId="0" applyNumberFormat="0" applyBorder="0" applyAlignment="0" applyProtection="0"/>
    <xf numFmtId="0" fontId="29" fillId="45" borderId="0" applyNumberFormat="0" applyBorder="0" applyAlignment="0" applyProtection="0"/>
    <xf numFmtId="0" fontId="29" fillId="45" borderId="0" applyNumberFormat="0" applyBorder="0" applyAlignment="0" applyProtection="0">
      <alignment vertical="center"/>
    </xf>
    <xf numFmtId="0" fontId="29" fillId="53" borderId="0" applyNumberFormat="0" applyBorder="0" applyAlignment="0" applyProtection="0"/>
    <xf numFmtId="0" fontId="29" fillId="53" borderId="0" applyNumberFormat="0" applyBorder="0" applyAlignment="0" applyProtection="0">
      <alignment vertical="center"/>
    </xf>
    <xf numFmtId="0" fontId="9" fillId="53" borderId="0" applyNumberFormat="0" applyBorder="0" applyAlignment="0" applyProtection="0"/>
    <xf numFmtId="0" fontId="9" fillId="53" borderId="0" applyNumberFormat="0" applyBorder="0" applyAlignment="0" applyProtection="0">
      <alignment vertical="center"/>
    </xf>
    <xf numFmtId="0" fontId="9" fillId="52" borderId="0" applyNumberFormat="0" applyBorder="0" applyAlignment="0" applyProtection="0">
      <alignment vertical="center"/>
    </xf>
    <xf numFmtId="0" fontId="31" fillId="54" borderId="0" applyNumberFormat="0" applyBorder="0" applyAlignment="0" applyProtection="0"/>
    <xf numFmtId="0" fontId="31" fillId="54" borderId="0" applyNumberFormat="0" applyBorder="0" applyAlignment="0" applyProtection="0">
      <alignment vertical="center"/>
    </xf>
    <xf numFmtId="180" fontId="32" fillId="0" borderId="0" applyFill="0" applyBorder="0" applyAlignment="0"/>
    <xf numFmtId="180" fontId="32" fillId="0" borderId="0" applyFill="0" applyBorder="0" applyAlignment="0">
      <alignment vertical="center"/>
    </xf>
    <xf numFmtId="0" fontId="33" fillId="55" borderId="41" applyNumberFormat="0" applyAlignment="0" applyProtection="0"/>
    <xf numFmtId="0" fontId="33" fillId="55" borderId="41" applyNumberFormat="0" applyAlignment="0" applyProtection="0">
      <alignment vertical="center"/>
    </xf>
    <xf numFmtId="0" fontId="34" fillId="47" borderId="42" applyNumberFormat="0" applyAlignment="0" applyProtection="0"/>
    <xf numFmtId="0" fontId="34" fillId="47" borderId="42" applyNumberFormat="0" applyAlignment="0" applyProtection="0">
      <alignment vertical="center"/>
    </xf>
    <xf numFmtId="0" fontId="35" fillId="56" borderId="0" applyNumberFormat="0" applyBorder="0" applyAlignment="0" applyProtection="0"/>
    <xf numFmtId="0" fontId="35" fillId="56" borderId="0" applyNumberFormat="0" applyBorder="0" applyAlignment="0" applyProtection="0">
      <alignment vertical="center"/>
    </xf>
    <xf numFmtId="0" fontId="35" fillId="57" borderId="0" applyNumberFormat="0" applyBorder="0" applyAlignment="0" applyProtection="0"/>
    <xf numFmtId="0" fontId="35" fillId="57" borderId="0" applyNumberFormat="0" applyBorder="0" applyAlignment="0" applyProtection="0">
      <alignment vertical="center"/>
    </xf>
    <xf numFmtId="0" fontId="35" fillId="58" borderId="0" applyNumberFormat="0" applyBorder="0" applyAlignment="0" applyProtection="0"/>
    <xf numFmtId="0" fontId="35" fillId="58" borderId="0" applyNumberFormat="0" applyBorder="0" applyAlignment="0" applyProtection="0">
      <alignment vertical="center"/>
    </xf>
    <xf numFmtId="0" fontId="36" fillId="0" borderId="0" applyNumberFormat="0" applyFill="0" applyBorder="0" applyAlignment="0" applyProtection="0"/>
    <xf numFmtId="0" fontId="36" fillId="0" borderId="0" applyNumberFormat="0" applyFill="0" applyBorder="0" applyAlignment="0" applyProtection="0">
      <alignment vertical="center"/>
    </xf>
    <xf numFmtId="0" fontId="37" fillId="49" borderId="0" applyNumberFormat="0" applyBorder="0" applyAlignment="0" applyProtection="0"/>
    <xf numFmtId="0" fontId="37" fillId="49" borderId="0" applyNumberFormat="0" applyBorder="0" applyAlignment="0" applyProtection="0">
      <alignment vertical="center"/>
    </xf>
    <xf numFmtId="38" fontId="38" fillId="16" borderId="0" applyNumberFormat="0" applyBorder="0" applyAlignment="0" applyProtection="0"/>
    <xf numFmtId="38" fontId="38" fillId="16" borderId="0" applyNumberFormat="0" applyBorder="0" applyAlignment="0" applyProtection="0">
      <alignment vertical="center"/>
    </xf>
    <xf numFmtId="0" fontId="39" fillId="0" borderId="9" applyNumberFormat="0" applyAlignment="0" applyProtection="0">
      <alignment horizontal="left" vertical="center"/>
    </xf>
    <xf numFmtId="0" fontId="39" fillId="0" borderId="43">
      <alignment horizontal="left" vertical="center"/>
    </xf>
    <xf numFmtId="0" fontId="40" fillId="0" borderId="44" applyNumberFormat="0" applyFill="0" applyAlignment="0" applyProtection="0"/>
    <xf numFmtId="0" fontId="40" fillId="0" borderId="44" applyNumberFormat="0" applyFill="0" applyAlignment="0" applyProtection="0">
      <alignment vertical="center"/>
    </xf>
    <xf numFmtId="0" fontId="41" fillId="0" borderId="45" applyNumberFormat="0" applyFill="0" applyAlignment="0" applyProtection="0"/>
    <xf numFmtId="0" fontId="41" fillId="0" borderId="45" applyNumberFormat="0" applyFill="0" applyAlignment="0" applyProtection="0">
      <alignment vertical="center"/>
    </xf>
    <xf numFmtId="0" fontId="42" fillId="0" borderId="46" applyNumberFormat="0" applyFill="0" applyAlignment="0" applyProtection="0"/>
    <xf numFmtId="0" fontId="42" fillId="0" borderId="46" applyNumberFormat="0" applyFill="0" applyAlignment="0" applyProtection="0">
      <alignment vertical="center"/>
    </xf>
    <xf numFmtId="0" fontId="42" fillId="0" borderId="0" applyNumberFormat="0" applyFill="0" applyBorder="0" applyAlignment="0" applyProtection="0"/>
    <xf numFmtId="0" fontId="42" fillId="0" borderId="0" applyNumberFormat="0" applyFill="0" applyBorder="0" applyAlignment="0" applyProtection="0">
      <alignment vertical="center"/>
    </xf>
    <xf numFmtId="0" fontId="43" fillId="53" borderId="41" applyNumberFormat="0" applyAlignment="0" applyProtection="0"/>
    <xf numFmtId="10" fontId="38" fillId="59" borderId="2" applyNumberFormat="0" applyBorder="0" applyAlignment="0" applyProtection="0"/>
    <xf numFmtId="10" fontId="38" fillId="59" borderId="2" applyNumberFormat="0" applyBorder="0" applyAlignment="0" applyProtection="0">
      <alignment vertical="center"/>
    </xf>
    <xf numFmtId="0" fontId="43" fillId="53" borderId="41" applyNumberFormat="0" applyAlignment="0" applyProtection="0">
      <alignment vertical="center"/>
    </xf>
    <xf numFmtId="0" fontId="43" fillId="53" borderId="41" applyNumberFormat="0" applyAlignment="0" applyProtection="0"/>
    <xf numFmtId="0" fontId="44" fillId="0" borderId="47" applyNumberFormat="0" applyFill="0" applyAlignment="0" applyProtection="0"/>
    <xf numFmtId="0" fontId="44" fillId="0" borderId="47" applyNumberFormat="0" applyFill="0" applyAlignment="0" applyProtection="0">
      <alignment vertical="center"/>
    </xf>
    <xf numFmtId="181" fontId="28" fillId="0" borderId="0">
      <alignment horizontal="justify"/>
    </xf>
    <xf numFmtId="181" fontId="28" fillId="0" borderId="0">
      <alignment horizontal="justify" vertical="center"/>
    </xf>
    <xf numFmtId="38" fontId="45" fillId="0" borderId="0" applyFont="0" applyFill="0" applyBorder="0" applyAlignment="0" applyProtection="0"/>
    <xf numFmtId="40" fontId="45" fillId="0" borderId="0" applyFont="0" applyFill="0" applyBorder="0" applyAlignment="0" applyProtection="0"/>
    <xf numFmtId="0" fontId="46" fillId="0" borderId="0" applyFont="0" applyFill="0" applyBorder="0" applyAlignment="0" applyProtection="0"/>
    <xf numFmtId="0" fontId="46" fillId="0" borderId="0" applyFont="0" applyFill="0" applyBorder="0" applyAlignment="0" applyProtection="0"/>
    <xf numFmtId="0" fontId="47" fillId="60" borderId="0" applyNumberFormat="0" applyBorder="0" applyAlignment="0" applyProtection="0"/>
    <xf numFmtId="0" fontId="47" fillId="60" borderId="0" applyNumberFormat="0" applyBorder="0" applyAlignment="0" applyProtection="0">
      <alignment vertical="center"/>
    </xf>
    <xf numFmtId="37" fontId="48" fillId="0" borderId="0"/>
    <xf numFmtId="37" fontId="48" fillId="0" borderId="0">
      <alignment vertical="center"/>
    </xf>
    <xf numFmtId="182" fontId="49" fillId="0" borderId="0"/>
    <xf numFmtId="182" fontId="49" fillId="0" borderId="0">
      <alignment vertical="center"/>
    </xf>
    <xf numFmtId="0" fontId="50" fillId="0" borderId="0"/>
    <xf numFmtId="0" fontId="51" fillId="45" borderId="48" applyNumberFormat="0" applyFont="0" applyAlignment="0" applyProtection="0"/>
    <xf numFmtId="0" fontId="52" fillId="45" borderId="48" applyNumberFormat="0" applyFont="0" applyAlignment="0" applyProtection="0">
      <alignment vertical="center"/>
    </xf>
    <xf numFmtId="0" fontId="53" fillId="55" borderId="49" applyNumberFormat="0" applyAlignment="0" applyProtection="0"/>
    <xf numFmtId="0" fontId="53" fillId="55" borderId="49" applyNumberFormat="0" applyAlignment="0" applyProtection="0">
      <alignment vertical="center"/>
    </xf>
    <xf numFmtId="10" fontId="50" fillId="0" borderId="0" applyFont="0" applyFill="0" applyBorder="0" applyAlignment="0" applyProtection="0"/>
    <xf numFmtId="10" fontId="50" fillId="0" borderId="0" applyFont="0" applyFill="0" applyBorder="0" applyAlignment="0" applyProtection="0">
      <alignment vertical="center"/>
    </xf>
    <xf numFmtId="0" fontId="54" fillId="0" borderId="0" applyNumberFormat="0" applyFill="0" applyBorder="0" applyAlignment="0" applyProtection="0"/>
    <xf numFmtId="0" fontId="54" fillId="0" borderId="0" applyNumberFormat="0" applyFill="0" applyBorder="0" applyAlignment="0" applyProtection="0">
      <alignment vertical="center"/>
    </xf>
    <xf numFmtId="0" fontId="55" fillId="0" borderId="2">
      <alignment horizontal="center"/>
    </xf>
    <xf numFmtId="0" fontId="28" fillId="0" borderId="0"/>
    <xf numFmtId="0" fontId="28" fillId="0" borderId="0">
      <alignment vertical="center"/>
    </xf>
    <xf numFmtId="0" fontId="55" fillId="0" borderId="2">
      <alignment horizontal="center" vertical="center"/>
    </xf>
    <xf numFmtId="0" fontId="55" fillId="0" borderId="0">
      <alignment horizontal="center" vertical="center"/>
    </xf>
    <xf numFmtId="0" fontId="56" fillId="55" borderId="0" applyNumberFormat="0" applyFill="0">
      <alignment horizontal="left" vertical="center"/>
    </xf>
    <xf numFmtId="0" fontId="57" fillId="0" borderId="0" applyNumberFormat="0" applyFill="0" applyBorder="0" applyAlignment="0" applyProtection="0"/>
    <xf numFmtId="0" fontId="57" fillId="0" borderId="0" applyNumberFormat="0" applyFill="0" applyBorder="0" applyAlignment="0" applyProtection="0">
      <alignment vertical="center"/>
    </xf>
    <xf numFmtId="0" fontId="35" fillId="0" borderId="50" applyNumberFormat="0" applyFill="0" applyAlignment="0" applyProtection="0"/>
    <xf numFmtId="0" fontId="35" fillId="0" borderId="50" applyNumberFormat="0" applyFill="0" applyAlignment="0" applyProtection="0">
      <alignment vertical="center"/>
    </xf>
    <xf numFmtId="0" fontId="58" fillId="0" borderId="0" applyNumberFormat="0" applyFill="0" applyBorder="0" applyAlignment="0" applyProtection="0"/>
    <xf numFmtId="0" fontId="58" fillId="0" borderId="0" applyNumberFormat="0" applyFill="0" applyBorder="0" applyAlignment="0" applyProtection="0">
      <alignment vertical="center"/>
    </xf>
    <xf numFmtId="0" fontId="59"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9" fontId="21" fillId="0" borderId="0" applyFont="0" applyFill="0" applyBorder="0" applyAlignment="0" applyProtection="0">
      <alignment vertical="center"/>
    </xf>
    <xf numFmtId="9" fontId="7" fillId="0" borderId="0" applyFont="0" applyFill="0" applyBorder="0" applyAlignment="0" applyProtection="0"/>
    <xf numFmtId="9" fontId="7" fillId="0" borderId="0" applyFont="0" applyFill="0" applyBorder="0" applyAlignment="0" applyProtection="0">
      <alignment vertical="center"/>
    </xf>
    <xf numFmtId="9" fontId="21" fillId="0" borderId="0" applyFont="0" applyFill="0" applyBorder="0" applyAlignment="0" applyProtection="0">
      <alignment vertical="center"/>
    </xf>
    <xf numFmtId="9" fontId="7" fillId="0" borderId="0" applyFont="0" applyFill="0" applyBorder="0" applyAlignment="0" applyProtection="0">
      <alignment vertical="center"/>
    </xf>
    <xf numFmtId="9" fontId="21" fillId="0" borderId="0" applyFont="0" applyFill="0" applyBorder="0" applyAlignment="0" applyProtection="0">
      <alignment vertical="center"/>
    </xf>
    <xf numFmtId="9" fontId="20" fillId="0" borderId="0" applyFont="0" applyFill="0" applyBorder="0" applyAlignment="0" applyProtection="0"/>
    <xf numFmtId="183" fontId="61" fillId="0" borderId="2">
      <alignment horizontal="center" vertical="center" wrapText="1"/>
    </xf>
    <xf numFmtId="181" fontId="50" fillId="0" borderId="0" applyFont="0" applyFill="0" applyBorder="0" applyAlignment="0" applyProtection="0"/>
    <xf numFmtId="184" fontId="50" fillId="0" borderId="0" applyFont="0" applyFill="0" applyBorder="0" applyAlignment="0" applyProtection="0"/>
    <xf numFmtId="0" fontId="62" fillId="0" borderId="51" applyNumberFormat="0" applyFill="0" applyProtection="0">
      <alignment vertical="center"/>
    </xf>
    <xf numFmtId="0" fontId="63" fillId="0" borderId="52" applyNumberFormat="0" applyFill="0" applyAlignment="0" applyProtection="0">
      <alignment vertical="center"/>
    </xf>
    <xf numFmtId="0" fontId="64" fillId="0" borderId="45" applyNumberFormat="0" applyFill="0" applyProtection="0">
      <alignment vertical="center"/>
    </xf>
    <xf numFmtId="0" fontId="65" fillId="0" borderId="45" applyNumberFormat="0" applyFill="0" applyAlignment="0" applyProtection="0">
      <alignment vertical="center"/>
    </xf>
    <xf numFmtId="0" fontId="66" fillId="0" borderId="53" applyNumberFormat="0" applyFill="0" applyAlignment="0" applyProtection="0">
      <alignment vertical="center"/>
    </xf>
    <xf numFmtId="0" fontId="66"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1" fillId="0" borderId="0"/>
    <xf numFmtId="0"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70" fillId="20" borderId="0" applyNumberFormat="0" applyBorder="0" applyAlignment="0" applyProtection="0">
      <alignment vertical="center"/>
    </xf>
    <xf numFmtId="0" fontId="71" fillId="19" borderId="0" applyNumberFormat="0" applyBorder="0" applyAlignment="0" applyProtection="0">
      <alignment vertical="center"/>
    </xf>
    <xf numFmtId="0" fontId="71" fillId="20" borderId="0" applyNumberFormat="0" applyBorder="0" applyAlignment="0" applyProtection="0">
      <alignment vertical="center"/>
    </xf>
    <xf numFmtId="0" fontId="71" fillId="19" borderId="0" applyNumberFormat="0" applyBorder="0" applyAlignment="0" applyProtection="0">
      <alignment vertical="center"/>
    </xf>
    <xf numFmtId="0" fontId="71" fillId="20" borderId="0" applyNumberFormat="0" applyBorder="0" applyAlignment="0" applyProtection="0">
      <alignment vertical="center"/>
    </xf>
    <xf numFmtId="0" fontId="71" fillId="19" borderId="0" applyNumberFormat="0" applyBorder="0" applyAlignment="0" applyProtection="0">
      <alignment vertical="center"/>
    </xf>
    <xf numFmtId="0" fontId="71" fillId="20" borderId="0" applyNumberFormat="0" applyBorder="0" applyAlignment="0" applyProtection="0">
      <alignment vertical="center"/>
    </xf>
    <xf numFmtId="0" fontId="71" fillId="19" borderId="0" applyNumberFormat="0" applyBorder="0" applyAlignment="0" applyProtection="0">
      <alignment vertical="center"/>
    </xf>
    <xf numFmtId="0" fontId="71" fillId="20" borderId="0" applyNumberFormat="0" applyBorder="0" applyAlignment="0" applyProtection="0">
      <alignment vertical="center"/>
    </xf>
    <xf numFmtId="0" fontId="72" fillId="19" borderId="0" applyNumberFormat="0" applyBorder="0" applyAlignment="0" applyProtection="0">
      <alignment vertical="center"/>
    </xf>
    <xf numFmtId="0" fontId="72" fillId="20" borderId="0" applyNumberFormat="0" applyBorder="0" applyAlignment="0" applyProtection="0">
      <alignment vertical="center"/>
    </xf>
    <xf numFmtId="0" fontId="73" fillId="19" borderId="0" applyNumberFormat="0" applyBorder="0" applyAlignment="0" applyProtection="0">
      <alignment vertical="center"/>
    </xf>
    <xf numFmtId="0" fontId="73" fillId="20" borderId="0" applyNumberFormat="0" applyBorder="0" applyAlignment="0" applyProtection="0">
      <alignment vertical="center"/>
    </xf>
    <xf numFmtId="0" fontId="72" fillId="19" borderId="0" applyNumberFormat="0" applyBorder="0" applyAlignment="0" applyProtection="0">
      <alignment vertical="center"/>
    </xf>
    <xf numFmtId="0" fontId="72" fillId="20" borderId="0" applyNumberFormat="0" applyBorder="0" applyAlignment="0" applyProtection="0">
      <alignment vertical="center"/>
    </xf>
    <xf numFmtId="0" fontId="72" fillId="19" borderId="0" applyNumberFormat="0" applyBorder="0" applyAlignment="0" applyProtection="0">
      <alignment vertical="center"/>
    </xf>
    <xf numFmtId="0" fontId="72" fillId="20" borderId="0" applyNumberFormat="0" applyBorder="0" applyAlignment="0" applyProtection="0">
      <alignment vertical="center"/>
    </xf>
    <xf numFmtId="0" fontId="7" fillId="0" borderId="0">
      <alignment vertical="center"/>
    </xf>
    <xf numFmtId="0" fontId="74" fillId="0" borderId="0">
      <alignment vertical="center"/>
    </xf>
    <xf numFmtId="0" fontId="50" fillId="0" borderId="0"/>
    <xf numFmtId="0" fontId="50" fillId="0" borderId="0">
      <alignment vertical="center"/>
    </xf>
    <xf numFmtId="0" fontId="7" fillId="0" borderId="0"/>
    <xf numFmtId="0" fontId="7" fillId="0" borderId="0">
      <alignment vertical="center"/>
    </xf>
    <xf numFmtId="0" fontId="7" fillId="0" borderId="0">
      <alignment vertical="center"/>
    </xf>
    <xf numFmtId="0" fontId="7" fillId="0" borderId="0">
      <alignment vertical="center"/>
    </xf>
    <xf numFmtId="0" fontId="21" fillId="0" borderId="0">
      <alignment vertical="center"/>
    </xf>
    <xf numFmtId="0" fontId="7" fillId="0" borderId="0"/>
    <xf numFmtId="0" fontId="7" fillId="0" borderId="0"/>
    <xf numFmtId="0" fontId="7" fillId="0" borderId="0">
      <alignment vertical="center"/>
    </xf>
    <xf numFmtId="0" fontId="7" fillId="0" borderId="0">
      <alignment vertical="center"/>
    </xf>
    <xf numFmtId="0" fontId="7" fillId="0" borderId="0"/>
    <xf numFmtId="0" fontId="7" fillId="0" borderId="0">
      <alignment vertical="center"/>
    </xf>
    <xf numFmtId="0" fontId="7" fillId="0" borderId="0"/>
    <xf numFmtId="0" fontId="7" fillId="0" borderId="0">
      <alignment vertical="center"/>
    </xf>
    <xf numFmtId="0" fontId="21" fillId="0" borderId="0">
      <alignment vertical="center"/>
    </xf>
    <xf numFmtId="0" fontId="7" fillId="0" borderId="0">
      <alignment vertical="center"/>
    </xf>
    <xf numFmtId="0" fontId="2" fillId="0" borderId="0">
      <alignment vertical="center"/>
    </xf>
    <xf numFmtId="0" fontId="7" fillId="0" borderId="0"/>
    <xf numFmtId="0" fontId="7" fillId="0" borderId="0">
      <alignment vertical="center"/>
    </xf>
    <xf numFmtId="0" fontId="7" fillId="0" borderId="0">
      <alignment vertical="center"/>
    </xf>
    <xf numFmtId="0" fontId="21" fillId="0" borderId="0">
      <alignment vertical="center"/>
    </xf>
    <xf numFmtId="0" fontId="21"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xf numFmtId="0" fontId="75" fillId="0" borderId="0" applyNumberFormat="0" applyFill="0" applyBorder="0" applyProtection="0">
      <alignment vertical="center"/>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6" fillId="22" borderId="0" applyNumberFormat="0" applyBorder="0" applyAlignment="0" applyProtection="0">
      <alignment vertical="center"/>
    </xf>
    <xf numFmtId="0" fontId="77" fillId="21" borderId="0" applyNumberFormat="0" applyBorder="0" applyAlignment="0" applyProtection="0">
      <alignment vertical="center"/>
    </xf>
    <xf numFmtId="0" fontId="77" fillId="22" borderId="0" applyNumberFormat="0" applyBorder="0" applyAlignment="0" applyProtection="0">
      <alignment vertical="center"/>
    </xf>
    <xf numFmtId="0" fontId="77" fillId="21" borderId="0" applyNumberFormat="0" applyBorder="0" applyAlignment="0" applyProtection="0">
      <alignment vertical="center"/>
    </xf>
    <xf numFmtId="0" fontId="77" fillId="22" borderId="0" applyNumberFormat="0" applyBorder="0" applyAlignment="0" applyProtection="0">
      <alignment vertical="center"/>
    </xf>
    <xf numFmtId="0" fontId="77" fillId="21" borderId="0" applyNumberFormat="0" applyBorder="0" applyAlignment="0" applyProtection="0">
      <alignment vertical="center"/>
    </xf>
    <xf numFmtId="0" fontId="77" fillId="22" borderId="0" applyNumberFormat="0" applyBorder="0" applyAlignment="0" applyProtection="0">
      <alignment vertical="center"/>
    </xf>
    <xf numFmtId="0" fontId="77" fillId="21" borderId="0" applyNumberFormat="0" applyBorder="0" applyAlignment="0" applyProtection="0">
      <alignment vertical="center"/>
    </xf>
    <xf numFmtId="0" fontId="77" fillId="22" borderId="0" applyNumberFormat="0" applyBorder="0" applyAlignment="0" applyProtection="0">
      <alignment vertical="center"/>
    </xf>
    <xf numFmtId="0" fontId="78" fillId="21" borderId="0" applyNumberFormat="0" applyBorder="0" applyAlignment="0" applyProtection="0">
      <alignment vertical="center"/>
    </xf>
    <xf numFmtId="0" fontId="78" fillId="22" borderId="0" applyNumberFormat="0" applyBorder="0" applyAlignment="0" applyProtection="0">
      <alignment vertical="center"/>
    </xf>
    <xf numFmtId="0" fontId="79" fillId="21" borderId="0" applyNumberFormat="0" applyBorder="0" applyAlignment="0" applyProtection="0">
      <alignment vertical="center"/>
    </xf>
    <xf numFmtId="0" fontId="79" fillId="22" borderId="0" applyNumberFormat="0" applyBorder="0" applyAlignment="0" applyProtection="0">
      <alignment vertical="center"/>
    </xf>
    <xf numFmtId="0" fontId="78" fillId="21" borderId="0" applyNumberFormat="0" applyBorder="0" applyAlignment="0" applyProtection="0">
      <alignment vertical="center"/>
    </xf>
    <xf numFmtId="0" fontId="78" fillId="22" borderId="0" applyNumberFormat="0" applyBorder="0" applyAlignment="0" applyProtection="0">
      <alignment vertical="center"/>
    </xf>
    <xf numFmtId="0" fontId="78" fillId="21" borderId="0" applyNumberFormat="0" applyBorder="0" applyAlignment="0" applyProtection="0">
      <alignment vertical="center"/>
    </xf>
    <xf numFmtId="0" fontId="78" fillId="22" borderId="0" applyNumberFormat="0" applyBorder="0" applyAlignment="0" applyProtection="0">
      <alignment vertical="center"/>
    </xf>
    <xf numFmtId="0" fontId="80" fillId="0" borderId="54" applyNumberFormat="0" applyFill="0" applyAlignment="0" applyProtection="0">
      <alignment vertical="center"/>
    </xf>
    <xf numFmtId="0" fontId="81" fillId="16" borderId="41" applyNumberFormat="0" applyAlignment="0" applyProtection="0">
      <alignment vertical="center"/>
    </xf>
    <xf numFmtId="0" fontId="82" fillId="11" borderId="42" applyNumberFormat="0" applyAlignment="0" applyProtection="0">
      <alignment vertical="center"/>
    </xf>
    <xf numFmtId="0" fontId="83" fillId="0" borderId="0" applyNumberFormat="0" applyFill="0" applyBorder="0" applyAlignment="0" applyProtection="0">
      <alignment vertical="center"/>
    </xf>
    <xf numFmtId="0" fontId="61" fillId="61" borderId="2">
      <alignment horizontal="center" vertical="center"/>
    </xf>
    <xf numFmtId="0" fontId="84" fillId="0" borderId="0" applyNumberFormat="0" applyFill="0" applyBorder="0" applyAlignment="0" applyProtection="0">
      <alignment vertical="center"/>
    </xf>
    <xf numFmtId="0" fontId="85" fillId="0" borderId="47" applyNumberFormat="0" applyFill="0" applyAlignment="0" applyProtection="0">
      <alignment vertical="center"/>
    </xf>
    <xf numFmtId="0" fontId="74" fillId="0" borderId="0"/>
    <xf numFmtId="0" fontId="30" fillId="7" borderId="0" applyNumberFormat="0" applyBorder="0" applyAlignment="0" applyProtection="0">
      <alignment vertical="center"/>
    </xf>
    <xf numFmtId="0" fontId="30" fillId="62" borderId="0" applyNumberFormat="0" applyBorder="0" applyAlignment="0" applyProtection="0">
      <alignment vertical="center"/>
    </xf>
    <xf numFmtId="0" fontId="30" fillId="63" borderId="0" applyNumberFormat="0" applyBorder="0" applyAlignment="0" applyProtection="0">
      <alignment vertical="center"/>
    </xf>
    <xf numFmtId="0" fontId="30" fillId="37" borderId="0" applyNumberFormat="0" applyBorder="0" applyAlignment="0" applyProtection="0">
      <alignment vertical="center"/>
    </xf>
    <xf numFmtId="0" fontId="30" fillId="39" borderId="0" applyNumberFormat="0" applyBorder="0" applyAlignment="0" applyProtection="0">
      <alignment vertical="center"/>
    </xf>
    <xf numFmtId="0" fontId="30" fillId="64" borderId="0" applyNumberFormat="0" applyBorder="0" applyAlignment="0" applyProtection="0">
      <alignment vertical="center"/>
    </xf>
    <xf numFmtId="185" fontId="61" fillId="0" borderId="2">
      <alignment horizontal="center" vertical="center"/>
      <protection locked="0"/>
    </xf>
    <xf numFmtId="0" fontId="86" fillId="65" borderId="0" applyNumberFormat="0" applyBorder="0" applyAlignment="0" applyProtection="0">
      <alignment vertical="center"/>
    </xf>
    <xf numFmtId="0" fontId="87" fillId="16" borderId="49" applyNumberFormat="0" applyAlignment="0" applyProtection="0">
      <alignment vertical="center"/>
    </xf>
    <xf numFmtId="0" fontId="88" fillId="28" borderId="41" applyNumberFormat="0" applyAlignment="0" applyProtection="0">
      <alignment vertical="center"/>
    </xf>
    <xf numFmtId="0" fontId="61" fillId="59" borderId="2">
      <alignment horizontal="center" vertical="center" wrapText="1"/>
    </xf>
    <xf numFmtId="0" fontId="61" fillId="28" borderId="2">
      <alignment horizontal="center" vertical="center"/>
    </xf>
    <xf numFmtId="0" fontId="28" fillId="0" borderId="0"/>
    <xf numFmtId="0" fontId="28" fillId="0" borderId="0">
      <alignment vertical="center"/>
    </xf>
    <xf numFmtId="0" fontId="89" fillId="0" borderId="0"/>
    <xf numFmtId="0" fontId="50" fillId="0" borderId="0"/>
    <xf numFmtId="0" fontId="61" fillId="0" borderId="2">
      <alignment vertical="center" wrapText="1"/>
      <protection locked="0"/>
    </xf>
    <xf numFmtId="177" fontId="50" fillId="0" borderId="0" applyFont="0" applyFill="0" applyBorder="0" applyAlignment="0" applyProtection="0"/>
    <xf numFmtId="176" fontId="50" fillId="0" borderId="0" applyFont="0" applyFill="0" applyBorder="0" applyAlignment="0" applyProtection="0"/>
    <xf numFmtId="0" fontId="7" fillId="66" borderId="48" applyNumberFormat="0" applyFont="0" applyAlignment="0" applyProtection="0">
      <alignment vertical="center"/>
    </xf>
    <xf numFmtId="0" fontId="7" fillId="59" borderId="48" applyNumberFormat="0" applyFont="0" applyAlignment="0" applyProtection="0">
      <alignment vertical="center"/>
    </xf>
    <xf numFmtId="0" fontId="20" fillId="59" borderId="48" applyNumberFormat="0" applyFont="0" applyAlignment="0" applyProtection="0">
      <alignment vertical="center"/>
    </xf>
    <xf numFmtId="0" fontId="61" fillId="67" borderId="2">
      <alignment horizontal="center" vertical="center"/>
    </xf>
    <xf numFmtId="176" fontId="89" fillId="0" borderId="0" applyFont="0" applyFill="0" applyBorder="0" applyAlignment="0" applyProtection="0"/>
    <xf numFmtId="177" fontId="89" fillId="0" borderId="0" applyFont="0" applyFill="0" applyBorder="0" applyAlignment="0" applyProtection="0"/>
    <xf numFmtId="186" fontId="89" fillId="0" borderId="0" applyFont="0" applyFill="0" applyBorder="0" applyAlignment="0" applyProtection="0"/>
    <xf numFmtId="187" fontId="89" fillId="0" borderId="0" applyFont="0" applyFill="0" applyBorder="0" applyAlignment="0" applyProtection="0"/>
    <xf numFmtId="0" fontId="89" fillId="0" borderId="0"/>
    <xf numFmtId="0" fontId="101" fillId="0" borderId="0" applyNumberFormat="0" applyFill="0" applyBorder="0" applyAlignment="0" applyProtection="0">
      <alignment vertical="top"/>
      <protection locked="0"/>
    </xf>
    <xf numFmtId="0" fontId="7" fillId="0" borderId="0"/>
    <xf numFmtId="0" fontId="7" fillId="0" borderId="0">
      <alignment vertical="center"/>
    </xf>
    <xf numFmtId="0" fontId="21" fillId="0" borderId="0"/>
    <xf numFmtId="0" fontId="7" fillId="0" borderId="0"/>
  </cellStyleXfs>
  <cellXfs count="969">
    <xf numFmtId="0" fontId="0" fillId="0" borderId="0" xfId="0"/>
    <xf numFmtId="0" fontId="3" fillId="2" borderId="0" xfId="1" applyFont="1" applyFill="1">
      <alignment vertical="center"/>
    </xf>
    <xf numFmtId="0" fontId="6" fillId="2" borderId="0" xfId="1" applyFont="1" applyFill="1">
      <alignment vertical="center"/>
    </xf>
    <xf numFmtId="0" fontId="2" fillId="0" borderId="0" xfId="1">
      <alignment vertical="center"/>
    </xf>
    <xf numFmtId="0" fontId="8" fillId="3" borderId="0" xfId="2" applyFont="1" applyFill="1" applyAlignment="1">
      <alignment vertical="center"/>
    </xf>
    <xf numFmtId="0" fontId="12" fillId="0" borderId="0" xfId="1" applyFont="1" applyBorder="1" applyAlignment="1">
      <alignment horizontal="left" vertical="center" wrapText="1"/>
    </xf>
    <xf numFmtId="0" fontId="13" fillId="0" borderId="0" xfId="2" applyFont="1" applyAlignment="1">
      <alignment vertical="center"/>
    </xf>
    <xf numFmtId="0" fontId="14" fillId="0" borderId="0" xfId="2" applyFont="1" applyAlignment="1">
      <alignment vertical="center"/>
    </xf>
    <xf numFmtId="0" fontId="18" fillId="0" borderId="4" xfId="2" applyFont="1" applyBorder="1" applyAlignment="1">
      <alignment vertical="center" wrapText="1"/>
    </xf>
    <xf numFmtId="0" fontId="19" fillId="8" borderId="5" xfId="2" applyFont="1" applyFill="1" applyBorder="1"/>
    <xf numFmtId="0" fontId="18" fillId="0" borderId="11" xfId="2" applyFont="1" applyBorder="1" applyAlignment="1">
      <alignment vertical="center" wrapText="1"/>
    </xf>
    <xf numFmtId="0" fontId="14" fillId="9" borderId="12" xfId="2" applyFont="1" applyFill="1" applyBorder="1" applyAlignment="1"/>
    <xf numFmtId="0" fontId="14" fillId="9" borderId="13" xfId="2" applyFont="1" applyFill="1" applyBorder="1" applyAlignment="1"/>
    <xf numFmtId="0" fontId="18" fillId="0" borderId="11" xfId="2" applyFont="1" applyBorder="1" applyAlignment="1">
      <alignment vertical="center"/>
    </xf>
    <xf numFmtId="0" fontId="14" fillId="9" borderId="16" xfId="2" applyFont="1" applyFill="1" applyBorder="1" applyAlignment="1">
      <alignment horizontal="center"/>
    </xf>
    <xf numFmtId="0" fontId="14" fillId="9" borderId="16" xfId="2" applyFont="1" applyFill="1" applyBorder="1" applyAlignment="1">
      <alignment horizontal="left"/>
    </xf>
    <xf numFmtId="178" fontId="14" fillId="10" borderId="17" xfId="2" applyNumberFormat="1" applyFont="1" applyFill="1" applyBorder="1" applyAlignment="1">
      <alignment horizontal="center"/>
    </xf>
    <xf numFmtId="178" fontId="14" fillId="11" borderId="18" xfId="2" applyNumberFormat="1" applyFont="1" applyFill="1" applyBorder="1" applyAlignment="1">
      <alignment horizontal="center"/>
    </xf>
    <xf numFmtId="178" fontId="14" fillId="12" borderId="19" xfId="2" applyNumberFormat="1" applyFont="1" applyFill="1" applyBorder="1" applyAlignment="1"/>
    <xf numFmtId="178" fontId="14" fillId="11" borderId="20" xfId="2" applyNumberFormat="1" applyFont="1" applyFill="1" applyBorder="1" applyAlignment="1"/>
    <xf numFmtId="178" fontId="14" fillId="12" borderId="17" xfId="2" applyNumberFormat="1" applyFont="1" applyFill="1" applyBorder="1" applyAlignment="1">
      <alignment horizontal="center"/>
    </xf>
    <xf numFmtId="178" fontId="14" fillId="0" borderId="21" xfId="2" applyNumberFormat="1" applyFont="1" applyFill="1" applyBorder="1" applyAlignment="1">
      <alignment horizontal="center"/>
    </xf>
    <xf numFmtId="0" fontId="14" fillId="0" borderId="18" xfId="2" applyFont="1" applyFill="1" applyBorder="1"/>
    <xf numFmtId="179" fontId="14" fillId="0" borderId="23" xfId="2" applyNumberFormat="1" applyFont="1" applyFill="1" applyBorder="1" applyAlignment="1">
      <alignment horizontal="center" vertical="center"/>
    </xf>
    <xf numFmtId="179" fontId="14" fillId="0" borderId="24" xfId="2" applyNumberFormat="1" applyFont="1" applyFill="1" applyBorder="1" applyAlignment="1">
      <alignment horizontal="center" vertical="center"/>
    </xf>
    <xf numFmtId="179" fontId="14" fillId="0" borderId="25" xfId="2" applyNumberFormat="1" applyFont="1" applyFill="1" applyBorder="1" applyAlignment="1">
      <alignment horizontal="center" vertical="center"/>
    </xf>
    <xf numFmtId="178" fontId="14" fillId="13" borderId="16" xfId="2" applyNumberFormat="1" applyFont="1" applyFill="1" applyBorder="1" applyAlignment="1">
      <alignment horizontal="center"/>
    </xf>
    <xf numFmtId="178" fontId="14" fillId="10" borderId="26" xfId="2" applyNumberFormat="1" applyFont="1" applyFill="1" applyBorder="1" applyAlignment="1">
      <alignment horizontal="center"/>
    </xf>
    <xf numFmtId="178" fontId="14" fillId="11" borderId="24" xfId="2" applyNumberFormat="1" applyFont="1" applyFill="1" applyBorder="1" applyAlignment="1">
      <alignment horizontal="center"/>
    </xf>
    <xf numFmtId="178" fontId="14" fillId="12" borderId="26" xfId="2" applyNumberFormat="1" applyFont="1" applyFill="1" applyBorder="1" applyAlignment="1">
      <alignment horizontal="center"/>
    </xf>
    <xf numFmtId="0" fontId="14" fillId="0" borderId="20" xfId="2" applyFont="1" applyFill="1" applyBorder="1"/>
    <xf numFmtId="178" fontId="14" fillId="12" borderId="27" xfId="2" applyNumberFormat="1" applyFont="1" applyFill="1" applyBorder="1" applyAlignment="1"/>
    <xf numFmtId="178" fontId="14" fillId="11" borderId="28" xfId="2" applyNumberFormat="1" applyFont="1" applyFill="1" applyBorder="1" applyAlignment="1"/>
    <xf numFmtId="0" fontId="19" fillId="8" borderId="29" xfId="2" applyFont="1" applyFill="1" applyBorder="1" applyAlignment="1">
      <alignment horizontal="left" vertical="center"/>
    </xf>
    <xf numFmtId="0" fontId="14" fillId="8" borderId="11" xfId="2" applyFont="1" applyFill="1" applyBorder="1" applyAlignment="1">
      <alignment horizontal="center" vertical="center"/>
    </xf>
    <xf numFmtId="179" fontId="14" fillId="0" borderId="27" xfId="2" applyNumberFormat="1" applyFont="1" applyFill="1" applyBorder="1" applyAlignment="1">
      <alignment horizontal="center" vertical="center"/>
    </xf>
    <xf numFmtId="179" fontId="14" fillId="0" borderId="28" xfId="2" applyNumberFormat="1" applyFont="1" applyFill="1" applyBorder="1" applyAlignment="1">
      <alignment horizontal="center" vertical="center"/>
    </xf>
    <xf numFmtId="179" fontId="14" fillId="0" borderId="0" xfId="2" applyNumberFormat="1" applyFont="1" applyFill="1" applyBorder="1" applyAlignment="1">
      <alignment horizontal="center" vertical="center"/>
    </xf>
    <xf numFmtId="179" fontId="14" fillId="0" borderId="7" xfId="2" applyNumberFormat="1" applyFont="1" applyFill="1" applyBorder="1" applyAlignment="1">
      <alignment horizontal="center" vertical="center"/>
    </xf>
    <xf numFmtId="179" fontId="14" fillId="0" borderId="30" xfId="2" applyNumberFormat="1" applyFont="1" applyFill="1" applyBorder="1" applyAlignment="1">
      <alignment horizontal="center" vertical="center"/>
    </xf>
    <xf numFmtId="178" fontId="14" fillId="0" borderId="0" xfId="2" applyNumberFormat="1" applyFont="1" applyFill="1" applyBorder="1" applyAlignment="1">
      <alignment horizontal="center"/>
    </xf>
    <xf numFmtId="178" fontId="14" fillId="0" borderId="0" xfId="2" applyNumberFormat="1" applyFont="1" applyFill="1" applyBorder="1"/>
    <xf numFmtId="0" fontId="14" fillId="0" borderId="0" xfId="2" applyFont="1" applyFill="1" applyAlignment="1">
      <alignment vertical="center"/>
    </xf>
    <xf numFmtId="0" fontId="14" fillId="0" borderId="8" xfId="2" applyFont="1" applyFill="1" applyBorder="1"/>
    <xf numFmtId="0" fontId="14" fillId="0" borderId="9" xfId="2" applyFont="1" applyFill="1" applyBorder="1"/>
    <xf numFmtId="0" fontId="21" fillId="0" borderId="0" xfId="4" applyFont="1" applyAlignment="1"/>
    <xf numFmtId="0" fontId="14" fillId="0" borderId="10" xfId="2" applyFont="1" applyFill="1" applyBorder="1"/>
    <xf numFmtId="0" fontId="14" fillId="0" borderId="9" xfId="2" applyFont="1" applyFill="1" applyBorder="1" applyAlignment="1">
      <alignment horizontal="left"/>
    </xf>
    <xf numFmtId="0" fontId="14" fillId="0" borderId="10" xfId="2" applyFont="1" applyFill="1" applyBorder="1" applyAlignment="1">
      <alignment horizontal="left"/>
    </xf>
    <xf numFmtId="0" fontId="14" fillId="9" borderId="12" xfId="2" applyFont="1" applyFill="1" applyBorder="1" applyAlignment="1">
      <alignment vertical="center"/>
    </xf>
    <xf numFmtId="0" fontId="14" fillId="15" borderId="31" xfId="2" applyFont="1" applyFill="1" applyBorder="1" applyAlignment="1">
      <alignment horizontal="center" vertical="center"/>
    </xf>
    <xf numFmtId="178" fontId="14" fillId="11" borderId="14" xfId="2" applyNumberFormat="1" applyFont="1" applyFill="1" applyBorder="1" applyAlignment="1">
      <alignment horizontal="center" vertical="center"/>
    </xf>
    <xf numFmtId="178" fontId="14" fillId="16" borderId="15" xfId="2" applyNumberFormat="1" applyFont="1" applyFill="1" applyBorder="1" applyAlignment="1">
      <alignment horizontal="center" vertical="center"/>
    </xf>
    <xf numFmtId="0" fontId="15" fillId="0" borderId="0" xfId="2" applyFont="1" applyAlignment="1">
      <alignment vertical="center"/>
    </xf>
    <xf numFmtId="0" fontId="19" fillId="8" borderId="4" xfId="2" applyFont="1" applyFill="1" applyBorder="1"/>
    <xf numFmtId="0" fontId="14" fillId="9" borderId="33" xfId="2" applyFont="1" applyFill="1" applyBorder="1" applyAlignment="1">
      <alignment vertical="center"/>
    </xf>
    <xf numFmtId="0" fontId="14" fillId="15" borderId="34" xfId="2" applyFont="1" applyFill="1" applyBorder="1" applyAlignment="1">
      <alignment horizontal="center" vertical="center"/>
    </xf>
    <xf numFmtId="178" fontId="14" fillId="11" borderId="21" xfId="2" applyNumberFormat="1" applyFont="1" applyFill="1" applyBorder="1" applyAlignment="1">
      <alignment horizontal="center" vertical="center"/>
    </xf>
    <xf numFmtId="178" fontId="14" fillId="16" borderId="18" xfId="2" applyNumberFormat="1" applyFont="1" applyFill="1" applyBorder="1" applyAlignment="1">
      <alignment horizontal="center" vertical="center"/>
    </xf>
    <xf numFmtId="178" fontId="14" fillId="10" borderId="21" xfId="2" applyNumberFormat="1" applyFont="1" applyFill="1" applyBorder="1" applyAlignment="1">
      <alignment horizontal="center"/>
    </xf>
    <xf numFmtId="178" fontId="14" fillId="12" borderId="35" xfId="2" applyNumberFormat="1" applyFont="1" applyFill="1" applyBorder="1" applyAlignment="1">
      <alignment horizontal="center"/>
    </xf>
    <xf numFmtId="178" fontId="14" fillId="11" borderId="20" xfId="2" applyNumberFormat="1" applyFont="1" applyFill="1" applyBorder="1" applyAlignment="1">
      <alignment horizontal="center"/>
    </xf>
    <xf numFmtId="178" fontId="14" fillId="0" borderId="23" xfId="2" applyNumberFormat="1" applyFont="1" applyFill="1" applyBorder="1" applyAlignment="1">
      <alignment horizontal="center"/>
    </xf>
    <xf numFmtId="0" fontId="14" fillId="0" borderId="24" xfId="2" applyFont="1" applyFill="1" applyBorder="1"/>
    <xf numFmtId="178" fontId="14" fillId="11" borderId="23" xfId="2" applyNumberFormat="1" applyFont="1" applyFill="1" applyBorder="1" applyAlignment="1">
      <alignment horizontal="center" vertical="center"/>
    </xf>
    <xf numFmtId="178" fontId="14" fillId="16" borderId="24" xfId="2" applyNumberFormat="1" applyFont="1" applyFill="1" applyBorder="1" applyAlignment="1">
      <alignment horizontal="center" vertical="center"/>
    </xf>
    <xf numFmtId="0" fontId="14" fillId="0" borderId="29" xfId="2" applyFont="1" applyFill="1" applyBorder="1"/>
    <xf numFmtId="0" fontId="14" fillId="0" borderId="0" xfId="2" applyFont="1" applyFill="1" applyBorder="1"/>
    <xf numFmtId="0" fontId="14" fillId="0" borderId="37" xfId="2" applyFont="1" applyFill="1" applyBorder="1"/>
    <xf numFmtId="0" fontId="18" fillId="0" borderId="22" xfId="2" applyFont="1" applyBorder="1" applyAlignment="1">
      <alignment vertical="center"/>
    </xf>
    <xf numFmtId="0" fontId="14" fillId="0" borderId="0" xfId="2" applyFont="1" applyFill="1"/>
    <xf numFmtId="0" fontId="14" fillId="9" borderId="22" xfId="2" applyFont="1" applyFill="1" applyBorder="1" applyAlignment="1">
      <alignment horizontal="left"/>
    </xf>
    <xf numFmtId="0" fontId="15" fillId="0" borderId="29" xfId="2" applyFont="1" applyFill="1" applyBorder="1"/>
    <xf numFmtId="0" fontId="14" fillId="9" borderId="16" xfId="2" applyFont="1" applyFill="1" applyBorder="1" applyAlignment="1"/>
    <xf numFmtId="0" fontId="2" fillId="0" borderId="0" xfId="1" applyFont="1" applyAlignment="1">
      <alignment vertical="top" wrapText="1"/>
    </xf>
    <xf numFmtId="0" fontId="19" fillId="8" borderId="16" xfId="2" applyFont="1" applyFill="1" applyBorder="1"/>
    <xf numFmtId="0" fontId="2" fillId="0" borderId="38" xfId="1" applyBorder="1">
      <alignment vertical="center"/>
    </xf>
    <xf numFmtId="0" fontId="2" fillId="0" borderId="35" xfId="1" applyBorder="1">
      <alignment vertical="center"/>
    </xf>
    <xf numFmtId="0" fontId="2" fillId="0" borderId="1" xfId="1" applyFont="1" applyBorder="1">
      <alignment vertical="center"/>
    </xf>
    <xf numFmtId="0" fontId="23" fillId="0" borderId="0" xfId="1" applyFont="1" applyBorder="1">
      <alignment vertical="center"/>
    </xf>
    <xf numFmtId="0" fontId="2" fillId="0" borderId="0" xfId="1" applyFont="1" applyBorder="1">
      <alignment vertical="center"/>
    </xf>
    <xf numFmtId="0" fontId="2" fillId="0" borderId="0" xfId="1" applyBorder="1">
      <alignment vertical="center"/>
    </xf>
    <xf numFmtId="0" fontId="2" fillId="0" borderId="30" xfId="1" applyBorder="1">
      <alignment vertical="center"/>
    </xf>
    <xf numFmtId="0" fontId="2" fillId="0" borderId="1" xfId="1" applyBorder="1">
      <alignment vertical="center"/>
    </xf>
    <xf numFmtId="0" fontId="6" fillId="0" borderId="0" xfId="1" applyFont="1" applyBorder="1">
      <alignment vertical="center"/>
    </xf>
    <xf numFmtId="0" fontId="2" fillId="0" borderId="39" xfId="1" applyBorder="1">
      <alignment vertical="center"/>
    </xf>
    <xf numFmtId="0" fontId="24" fillId="0" borderId="40" xfId="1" applyFont="1" applyBorder="1">
      <alignment vertical="center"/>
    </xf>
    <xf numFmtId="0" fontId="2" fillId="0" borderId="40" xfId="1" applyFont="1" applyFill="1" applyBorder="1">
      <alignment vertical="center"/>
    </xf>
    <xf numFmtId="0" fontId="2" fillId="0" borderId="40" xfId="1" applyBorder="1">
      <alignment vertical="center"/>
    </xf>
    <xf numFmtId="0" fontId="90" fillId="0" borderId="0" xfId="0" applyFont="1"/>
    <xf numFmtId="0" fontId="0" fillId="0" borderId="0" xfId="0" quotePrefix="1"/>
    <xf numFmtId="0" fontId="91" fillId="0" borderId="55" xfId="1" applyFont="1" applyBorder="1" applyAlignment="1">
      <alignment vertical="center"/>
    </xf>
    <xf numFmtId="0" fontId="93" fillId="0" borderId="56" xfId="1" applyFont="1" applyBorder="1" applyAlignment="1">
      <alignment vertical="center"/>
    </xf>
    <xf numFmtId="0" fontId="17" fillId="68" borderId="58" xfId="3" applyFont="1" applyFill="1" applyBorder="1" applyAlignment="1">
      <alignment vertical="center" wrapText="1"/>
    </xf>
    <xf numFmtId="0" fontId="94" fillId="69" borderId="60" xfId="1" applyFont="1" applyFill="1" applyBorder="1" applyAlignment="1">
      <alignment horizontal="center" vertical="center"/>
    </xf>
    <xf numFmtId="0" fontId="93" fillId="0" borderId="55" xfId="1" applyFont="1" applyBorder="1" applyAlignment="1">
      <alignment vertical="center"/>
    </xf>
    <xf numFmtId="0" fontId="95" fillId="70" borderId="61" xfId="4" applyFont="1" applyFill="1" applyBorder="1" applyAlignment="1">
      <alignment horizontal="left" vertical="center"/>
    </xf>
    <xf numFmtId="0" fontId="95" fillId="70" borderId="61" xfId="4" applyFont="1" applyFill="1" applyBorder="1" applyAlignment="1">
      <alignment vertical="center"/>
    </xf>
    <xf numFmtId="0" fontId="95" fillId="70" borderId="63" xfId="4" applyFont="1" applyFill="1" applyBorder="1" applyAlignment="1">
      <alignment horizontal="center" vertical="center"/>
    </xf>
    <xf numFmtId="0" fontId="95" fillId="70" borderId="65" xfId="4" applyFont="1" applyFill="1" applyBorder="1" applyAlignment="1">
      <alignment vertical="center"/>
    </xf>
    <xf numFmtId="0" fontId="95" fillId="70" borderId="66" xfId="4" applyFont="1" applyFill="1" applyBorder="1" applyAlignment="1">
      <alignment horizontal="left" vertical="center"/>
    </xf>
    <xf numFmtId="0" fontId="95" fillId="70" borderId="66" xfId="4" applyFont="1" applyFill="1" applyBorder="1" applyAlignment="1">
      <alignment vertical="center"/>
    </xf>
    <xf numFmtId="0" fontId="95" fillId="70" borderId="68" xfId="4" applyFont="1" applyFill="1" applyBorder="1" applyAlignment="1">
      <alignment horizontal="center" vertical="center"/>
    </xf>
    <xf numFmtId="0" fontId="95" fillId="70" borderId="55" xfId="4" applyFont="1" applyFill="1" applyBorder="1" applyAlignment="1">
      <alignment vertical="center"/>
    </xf>
    <xf numFmtId="0" fontId="95" fillId="70" borderId="55" xfId="4" applyFont="1" applyFill="1" applyBorder="1" applyAlignment="1">
      <alignment horizontal="left" vertical="center"/>
    </xf>
    <xf numFmtId="0" fontId="95" fillId="70" borderId="56" xfId="4" applyFont="1" applyFill="1" applyBorder="1" applyAlignment="1">
      <alignment vertical="center"/>
    </xf>
    <xf numFmtId="0" fontId="95" fillId="70" borderId="69" xfId="4" applyFont="1" applyFill="1" applyBorder="1" applyAlignment="1">
      <alignment horizontal="center" vertical="center"/>
    </xf>
    <xf numFmtId="0" fontId="95" fillId="70" borderId="70" xfId="4" applyFont="1" applyFill="1" applyBorder="1" applyAlignment="1">
      <alignment horizontal="center" vertical="center"/>
    </xf>
    <xf numFmtId="31" fontId="15" fillId="70" borderId="56" xfId="4" applyNumberFormat="1" applyFont="1" applyFill="1" applyBorder="1" applyAlignment="1">
      <alignment horizontal="center" vertical="center"/>
    </xf>
    <xf numFmtId="31" fontId="15" fillId="70" borderId="70" xfId="4" applyNumberFormat="1" applyFont="1" applyFill="1" applyBorder="1" applyAlignment="1">
      <alignment horizontal="center" vertical="center"/>
    </xf>
    <xf numFmtId="0" fontId="95" fillId="72" borderId="55" xfId="4" applyFont="1" applyFill="1" applyBorder="1" applyAlignment="1">
      <alignment horizontal="left" vertical="top" wrapText="1"/>
    </xf>
    <xf numFmtId="0" fontId="99" fillId="68" borderId="60" xfId="3" applyFont="1" applyFill="1" applyBorder="1" applyAlignment="1">
      <alignment horizontal="center" vertical="center" wrapText="1"/>
    </xf>
    <xf numFmtId="0" fontId="94" fillId="68" borderId="60" xfId="3" applyFont="1" applyFill="1" applyBorder="1" applyAlignment="1">
      <alignment horizontal="center" vertical="center" wrapText="1"/>
    </xf>
    <xf numFmtId="0" fontId="95" fillId="73" borderId="55" xfId="4" applyFont="1" applyFill="1" applyBorder="1" applyAlignment="1">
      <alignment horizontal="left" vertical="center"/>
    </xf>
    <xf numFmtId="178" fontId="14" fillId="74" borderId="55" xfId="235" applyNumberFormat="1" applyFont="1" applyFill="1" applyBorder="1" applyAlignment="1">
      <alignment horizontal="left" vertical="center" wrapText="1"/>
    </xf>
    <xf numFmtId="178" fontId="14" fillId="74" borderId="55" xfId="235" applyNumberFormat="1" applyFont="1" applyFill="1" applyBorder="1" applyAlignment="1">
      <alignment horizontal="center" vertical="center" wrapText="1"/>
    </xf>
    <xf numFmtId="0" fontId="14" fillId="74" borderId="55" xfId="1" applyFont="1" applyFill="1" applyBorder="1" applyAlignment="1">
      <alignment horizontal="left" vertical="center"/>
    </xf>
    <xf numFmtId="0" fontId="14" fillId="0" borderId="55" xfId="1" applyFont="1" applyBorder="1" applyAlignment="1">
      <alignment horizontal="left" vertical="center"/>
    </xf>
    <xf numFmtId="178" fontId="14" fillId="75" borderId="55" xfId="235" applyNumberFormat="1" applyFont="1" applyFill="1" applyBorder="1" applyAlignment="1">
      <alignment horizontal="left" vertical="center" wrapText="1"/>
    </xf>
    <xf numFmtId="178" fontId="14" fillId="75" borderId="55" xfId="235" applyNumberFormat="1" applyFont="1" applyFill="1" applyBorder="1" applyAlignment="1">
      <alignment horizontal="center" vertical="center" wrapText="1"/>
    </xf>
    <xf numFmtId="188" fontId="14" fillId="72" borderId="55" xfId="319" applyNumberFormat="1" applyFont="1" applyFill="1" applyBorder="1" applyAlignment="1" applyProtection="1">
      <alignment horizontal="left" vertical="center"/>
    </xf>
    <xf numFmtId="0" fontId="95" fillId="0" borderId="55" xfId="4" applyFont="1" applyFill="1" applyBorder="1" applyAlignment="1">
      <alignment horizontal="center" vertical="center"/>
    </xf>
    <xf numFmtId="0" fontId="102" fillId="0" borderId="55" xfId="319" applyFont="1" applyFill="1" applyBorder="1" applyAlignment="1" applyProtection="1">
      <alignment vertical="center"/>
    </xf>
    <xf numFmtId="0" fontId="95" fillId="0" borderId="55" xfId="4" applyFont="1" applyFill="1" applyBorder="1" applyAlignment="1">
      <alignment horizontal="left" vertical="top" wrapText="1"/>
    </xf>
    <xf numFmtId="188" fontId="14" fillId="0" borderId="55" xfId="319" applyNumberFormat="1" applyFont="1" applyFill="1" applyBorder="1" applyAlignment="1" applyProtection="1">
      <alignment horizontal="right" vertical="center"/>
    </xf>
    <xf numFmtId="0" fontId="14" fillId="0" borderId="55" xfId="319" applyFont="1" applyFill="1" applyBorder="1" applyAlignment="1" applyProtection="1">
      <alignment vertical="center"/>
    </xf>
    <xf numFmtId="0" fontId="91" fillId="0" borderId="55" xfId="1" applyFont="1" applyFill="1" applyBorder="1" applyAlignment="1">
      <alignment vertical="center"/>
    </xf>
    <xf numFmtId="0" fontId="99" fillId="68" borderId="75" xfId="3" applyFont="1" applyFill="1" applyBorder="1" applyAlignment="1">
      <alignment horizontal="center" vertical="center" wrapText="1"/>
    </xf>
    <xf numFmtId="0" fontId="99" fillId="68" borderId="55" xfId="3" applyFont="1" applyFill="1" applyBorder="1" applyAlignment="1">
      <alignment horizontal="center" vertical="center" wrapText="1"/>
    </xf>
    <xf numFmtId="0" fontId="95" fillId="72" borderId="55" xfId="4" applyFont="1" applyFill="1" applyBorder="1" applyAlignment="1">
      <alignment horizontal="left" vertical="center"/>
    </xf>
    <xf numFmtId="0" fontId="14" fillId="75" borderId="55" xfId="1" applyFont="1" applyFill="1" applyBorder="1" applyAlignment="1">
      <alignment horizontal="left" vertical="center"/>
    </xf>
    <xf numFmtId="0" fontId="91" fillId="0" borderId="55" xfId="1" applyFont="1" applyBorder="1" applyAlignment="1">
      <alignment horizontal="center" vertical="center"/>
    </xf>
    <xf numFmtId="0" fontId="91" fillId="0" borderId="55" xfId="1" applyFont="1" applyBorder="1" applyAlignment="1">
      <alignment horizontal="center" vertical="center" wrapText="1"/>
    </xf>
    <xf numFmtId="0" fontId="14" fillId="75" borderId="56" xfId="1" applyFont="1" applyFill="1" applyBorder="1" applyAlignment="1">
      <alignment horizontal="left" vertical="top"/>
    </xf>
    <xf numFmtId="0" fontId="14" fillId="72" borderId="55" xfId="319" applyFont="1" applyFill="1" applyBorder="1" applyAlignment="1" applyProtection="1">
      <alignment horizontal="left" vertical="center"/>
    </xf>
    <xf numFmtId="0" fontId="18" fillId="75" borderId="67" xfId="1" applyFont="1" applyFill="1" applyBorder="1" applyAlignment="1">
      <alignment horizontal="left" vertical="top"/>
    </xf>
    <xf numFmtId="0" fontId="18" fillId="75" borderId="70" xfId="1" applyFont="1" applyFill="1" applyBorder="1" applyAlignment="1">
      <alignment horizontal="left" vertical="top"/>
    </xf>
    <xf numFmtId="0" fontId="91" fillId="0" borderId="55" xfId="1" applyFont="1" applyBorder="1" applyAlignment="1">
      <alignment horizontal="left" vertical="top"/>
    </xf>
    <xf numFmtId="0" fontId="20" fillId="0" borderId="0" xfId="4" applyAlignment="1">
      <alignment vertical="center"/>
    </xf>
    <xf numFmtId="0" fontId="7" fillId="0" borderId="0" xfId="228" applyAlignment="1">
      <alignment vertical="center"/>
    </xf>
    <xf numFmtId="0" fontId="7" fillId="0" borderId="0" xfId="228" applyAlignment="1">
      <alignment horizontal="center" vertical="center"/>
    </xf>
    <xf numFmtId="189" fontId="103" fillId="11" borderId="78" xfId="228" applyNumberFormat="1" applyFont="1" applyFill="1" applyBorder="1" applyAlignment="1">
      <alignment horizontal="center" vertical="center" wrapText="1"/>
    </xf>
    <xf numFmtId="179" fontId="103" fillId="11" borderId="78" xfId="228" applyNumberFormat="1" applyFont="1" applyFill="1" applyBorder="1" applyAlignment="1">
      <alignment horizontal="center" vertical="center" wrapText="1"/>
    </xf>
    <xf numFmtId="0" fontId="103" fillId="9" borderId="78" xfId="228" applyFont="1" applyFill="1" applyBorder="1" applyAlignment="1">
      <alignment horizontal="center" vertical="center" wrapText="1"/>
    </xf>
    <xf numFmtId="189" fontId="103" fillId="16" borderId="78" xfId="228" applyNumberFormat="1" applyFont="1" applyFill="1" applyBorder="1" applyAlignment="1">
      <alignment horizontal="center" vertical="center" wrapText="1"/>
    </xf>
    <xf numFmtId="179" fontId="103" fillId="16" borderId="78" xfId="228" applyNumberFormat="1" applyFont="1" applyFill="1" applyBorder="1" applyAlignment="1">
      <alignment horizontal="center" vertical="center" wrapText="1"/>
    </xf>
    <xf numFmtId="0" fontId="103" fillId="18" borderId="78" xfId="228" applyFont="1" applyFill="1" applyBorder="1" applyAlignment="1">
      <alignment horizontal="center" vertical="center" wrapText="1"/>
    </xf>
    <xf numFmtId="0" fontId="103" fillId="18" borderId="78" xfId="228" applyFont="1" applyFill="1" applyBorder="1" applyAlignment="1">
      <alignment horizontal="center" vertical="top" wrapText="1"/>
    </xf>
    <xf numFmtId="179" fontId="103" fillId="16" borderId="78" xfId="4" applyNumberFormat="1" applyFont="1" applyFill="1" applyBorder="1" applyAlignment="1">
      <alignment horizontal="center" vertical="center" wrapText="1"/>
    </xf>
    <xf numFmtId="0" fontId="104" fillId="76" borderId="79" xfId="4" applyFont="1" applyFill="1" applyBorder="1" applyAlignment="1">
      <alignment horizontal="center" vertical="center" wrapText="1"/>
    </xf>
    <xf numFmtId="0" fontId="104" fillId="7" borderId="78" xfId="228" applyFont="1" applyFill="1" applyBorder="1" applyAlignment="1">
      <alignment horizontal="center" vertical="center" wrapText="1"/>
    </xf>
    <xf numFmtId="0" fontId="105" fillId="64" borderId="82" xfId="228" applyFont="1" applyFill="1" applyBorder="1" applyAlignment="1">
      <alignment horizontal="center" vertical="center" wrapText="1"/>
    </xf>
    <xf numFmtId="0" fontId="20" fillId="0" borderId="0" xfId="4"/>
    <xf numFmtId="0" fontId="20" fillId="0" borderId="2" xfId="4" applyBorder="1" applyAlignment="1">
      <alignment horizontal="center" vertical="center"/>
    </xf>
    <xf numFmtId="0" fontId="20" fillId="0" borderId="2" xfId="4" applyFont="1" applyBorder="1" applyAlignment="1">
      <alignment horizontal="center" vertical="center"/>
    </xf>
    <xf numFmtId="0" fontId="20" fillId="0" borderId="105" xfId="4" applyBorder="1"/>
    <xf numFmtId="0" fontId="20" fillId="0" borderId="98" xfId="4" applyBorder="1"/>
    <xf numFmtId="0" fontId="20" fillId="0" borderId="30" xfId="4" applyFont="1" applyBorder="1" applyAlignment="1">
      <alignment horizontal="left" vertical="center"/>
    </xf>
    <xf numFmtId="0" fontId="20" fillId="0" borderId="0" xfId="4" applyFont="1" applyBorder="1" applyAlignment="1">
      <alignment horizontal="left" vertical="center"/>
    </xf>
    <xf numFmtId="0" fontId="20" fillId="0" borderId="0" xfId="4" applyFont="1" applyBorder="1" applyAlignment="1">
      <alignment vertical="center"/>
    </xf>
    <xf numFmtId="0" fontId="20" fillId="0" borderId="17" xfId="4" applyFont="1" applyBorder="1" applyAlignment="1">
      <alignment vertical="center"/>
    </xf>
    <xf numFmtId="0" fontId="20" fillId="0" borderId="43" xfId="4" applyFont="1" applyBorder="1" applyAlignment="1">
      <alignment vertical="center"/>
    </xf>
    <xf numFmtId="0" fontId="20" fillId="0" borderId="106" xfId="4" applyFont="1" applyBorder="1" applyAlignment="1">
      <alignment vertical="center"/>
    </xf>
    <xf numFmtId="0" fontId="108" fillId="0" borderId="0" xfId="4" applyFont="1" applyBorder="1" applyAlignment="1">
      <alignment vertical="center"/>
    </xf>
    <xf numFmtId="0" fontId="108" fillId="0" borderId="77" xfId="4" applyFont="1" applyBorder="1" applyAlignment="1">
      <alignment vertical="center"/>
    </xf>
    <xf numFmtId="0" fontId="20" fillId="77" borderId="0" xfId="4" applyFont="1" applyFill="1"/>
    <xf numFmtId="0" fontId="20" fillId="77" borderId="0" xfId="4" applyFont="1" applyFill="1" applyAlignment="1">
      <alignment horizontal="center"/>
    </xf>
    <xf numFmtId="0" fontId="109" fillId="77" borderId="0" xfId="4" applyFont="1" applyFill="1"/>
    <xf numFmtId="10" fontId="20" fillId="77" borderId="0" xfId="4" applyNumberFormat="1" applyFont="1" applyFill="1"/>
    <xf numFmtId="0" fontId="110" fillId="0" borderId="0" xfId="4" applyFont="1" applyFill="1"/>
    <xf numFmtId="9" fontId="111" fillId="0" borderId="0" xfId="4" applyNumberFormat="1" applyFont="1" applyFill="1" applyBorder="1" applyAlignment="1">
      <alignment horizontal="center" vertical="center"/>
    </xf>
    <xf numFmtId="0" fontId="111" fillId="0" borderId="0" xfId="4" applyFont="1" applyFill="1" applyBorder="1" applyAlignment="1">
      <alignment horizontal="center" vertical="center"/>
    </xf>
    <xf numFmtId="0" fontId="20" fillId="0" borderId="0" xfId="4" applyFont="1" applyFill="1" applyBorder="1"/>
    <xf numFmtId="10" fontId="112" fillId="0" borderId="0" xfId="4" applyNumberFormat="1" applyFont="1" applyFill="1" applyBorder="1" applyAlignment="1">
      <alignment horizontal="center"/>
    </xf>
    <xf numFmtId="0" fontId="20" fillId="0" borderId="0" xfId="4" applyFont="1" applyFill="1" applyBorder="1" applyAlignment="1">
      <alignment horizontal="center"/>
    </xf>
    <xf numFmtId="9" fontId="111" fillId="0" borderId="109" xfId="4" applyNumberFormat="1" applyFont="1" applyFill="1" applyBorder="1" applyAlignment="1">
      <alignment horizontal="center" vertical="center"/>
    </xf>
    <xf numFmtId="0" fontId="20" fillId="0" borderId="0" xfId="4" applyFont="1" applyFill="1"/>
    <xf numFmtId="9" fontId="112" fillId="78" borderId="125" xfId="4" applyNumberFormat="1" applyFont="1" applyFill="1" applyBorder="1" applyAlignment="1">
      <alignment horizontal="center"/>
    </xf>
    <xf numFmtId="0" fontId="113" fillId="78" borderId="119" xfId="4" applyFont="1" applyFill="1" applyBorder="1"/>
    <xf numFmtId="0" fontId="113" fillId="78" borderId="120" xfId="4" applyFont="1" applyFill="1" applyBorder="1"/>
    <xf numFmtId="0" fontId="113" fillId="78" borderId="119" xfId="4" applyFont="1" applyFill="1" applyBorder="1" applyAlignment="1">
      <alignment horizontal="right"/>
    </xf>
    <xf numFmtId="0" fontId="113" fillId="78" borderId="120" xfId="4" applyFont="1" applyFill="1" applyBorder="1" applyAlignment="1">
      <alignment horizontal="right"/>
    </xf>
    <xf numFmtId="0" fontId="113" fillId="78" borderId="119" xfId="4" applyFont="1" applyFill="1" applyBorder="1" applyAlignment="1">
      <alignment horizontal="center"/>
    </xf>
    <xf numFmtId="0" fontId="114" fillId="79" borderId="120" xfId="1" applyFont="1" applyFill="1" applyBorder="1" applyAlignment="1">
      <alignment horizontal="center" vertical="center" wrapText="1"/>
    </xf>
    <xf numFmtId="0" fontId="113" fillId="78" borderId="120" xfId="4" applyFont="1" applyFill="1" applyBorder="1" applyAlignment="1">
      <alignment horizontal="center"/>
    </xf>
    <xf numFmtId="0" fontId="20" fillId="77" borderId="120" xfId="4" applyFont="1" applyFill="1" applyBorder="1" applyAlignment="1">
      <alignment horizontal="center"/>
    </xf>
    <xf numFmtId="0" fontId="74" fillId="77" borderId="0" xfId="4" applyFont="1" applyFill="1" applyAlignment="1">
      <alignment horizontal="left"/>
    </xf>
    <xf numFmtId="0" fontId="74" fillId="77" borderId="0" xfId="4" applyFont="1" applyFill="1" applyAlignment="1">
      <alignment horizontal="center"/>
    </xf>
    <xf numFmtId="0" fontId="115" fillId="77" borderId="0" xfId="4" applyFont="1" applyFill="1" applyAlignment="1">
      <alignment horizontal="center"/>
    </xf>
    <xf numFmtId="0" fontId="20" fillId="77" borderId="141" xfId="4" applyFont="1" applyFill="1" applyBorder="1" applyAlignment="1">
      <alignment horizontal="center"/>
    </xf>
    <xf numFmtId="0" fontId="20" fillId="77" borderId="0" xfId="4" applyFont="1" applyFill="1" applyBorder="1" applyAlignment="1">
      <alignment horizontal="left" vertical="top"/>
    </xf>
    <xf numFmtId="0" fontId="20" fillId="77" borderId="0" xfId="4" applyFont="1" applyFill="1" applyBorder="1"/>
    <xf numFmtId="0" fontId="20" fillId="77" borderId="0" xfId="4" applyFont="1" applyFill="1" applyBorder="1" applyAlignment="1">
      <alignment horizontal="center"/>
    </xf>
    <xf numFmtId="0" fontId="20" fillId="77" borderId="141" xfId="4" applyFill="1" applyBorder="1" applyAlignment="1">
      <alignment horizontal="center"/>
    </xf>
    <xf numFmtId="0" fontId="20" fillId="77" borderId="0" xfId="4" applyFill="1" applyBorder="1" applyAlignment="1">
      <alignment horizontal="left" vertical="top"/>
    </xf>
    <xf numFmtId="0" fontId="118" fillId="77" borderId="0" xfId="4" applyFont="1" applyFill="1" applyBorder="1"/>
    <xf numFmtId="0" fontId="118" fillId="77" borderId="0" xfId="4" applyFont="1" applyFill="1" applyBorder="1" applyAlignment="1">
      <alignment horizontal="center"/>
    </xf>
    <xf numFmtId="0" fontId="74" fillId="77" borderId="144" xfId="4" applyFont="1" applyFill="1" applyBorder="1" applyAlignment="1">
      <alignment horizontal="center" vertical="center"/>
    </xf>
    <xf numFmtId="183" fontId="20" fillId="77" borderId="152" xfId="4" applyNumberFormat="1" applyFont="1" applyFill="1" applyBorder="1" applyAlignment="1">
      <alignment horizontal="center" vertical="center"/>
    </xf>
    <xf numFmtId="0" fontId="113" fillId="77" borderId="0" xfId="4" applyFont="1" applyFill="1" applyBorder="1" applyAlignment="1">
      <alignment horizontal="left"/>
    </xf>
    <xf numFmtId="58" fontId="20" fillId="77" borderId="0" xfId="4" applyNumberFormat="1" applyFont="1" applyFill="1"/>
    <xf numFmtId="58" fontId="20" fillId="77" borderId="0" xfId="4" applyNumberFormat="1" applyFont="1" applyFill="1" applyAlignment="1">
      <alignment horizontal="center"/>
    </xf>
    <xf numFmtId="58" fontId="20" fillId="77" borderId="0" xfId="4" applyNumberFormat="1" applyFont="1" applyFill="1" applyAlignment="1">
      <alignment vertical="center"/>
    </xf>
    <xf numFmtId="58" fontId="20" fillId="77" borderId="0" xfId="4" applyNumberFormat="1" applyFont="1" applyFill="1" applyAlignment="1">
      <alignment horizontal="center" vertical="center"/>
    </xf>
    <xf numFmtId="0" fontId="20" fillId="77" borderId="0" xfId="4" applyFont="1" applyFill="1" applyAlignment="1">
      <alignment horizontal="center" vertical="center"/>
    </xf>
    <xf numFmtId="0" fontId="20" fillId="77" borderId="0" xfId="4" applyFont="1" applyFill="1" applyAlignment="1">
      <alignment horizontal="left" vertical="center"/>
    </xf>
    <xf numFmtId="58" fontId="20" fillId="77" borderId="157" xfId="4" applyNumberFormat="1" applyFont="1" applyFill="1" applyBorder="1" applyAlignment="1">
      <alignment vertical="center"/>
    </xf>
    <xf numFmtId="0" fontId="20" fillId="77" borderId="159" xfId="4" applyNumberFormat="1" applyFont="1" applyFill="1" applyBorder="1" applyAlignment="1">
      <alignment horizontal="center" vertical="center"/>
    </xf>
    <xf numFmtId="189" fontId="20" fillId="77" borderId="0" xfId="4" applyNumberFormat="1" applyFont="1" applyFill="1" applyAlignment="1">
      <alignment horizontal="center" vertical="center"/>
    </xf>
    <xf numFmtId="0" fontId="20" fillId="77" borderId="169" xfId="4" applyNumberFormat="1" applyFont="1" applyFill="1" applyBorder="1" applyAlignment="1">
      <alignment horizontal="center"/>
    </xf>
    <xf numFmtId="0" fontId="20" fillId="77" borderId="170" xfId="4" applyNumberFormat="1" applyFont="1" applyFill="1" applyBorder="1" applyAlignment="1">
      <alignment horizontal="center"/>
    </xf>
    <xf numFmtId="0" fontId="20" fillId="77" borderId="0" xfId="4" applyNumberFormat="1" applyFont="1" applyFill="1"/>
    <xf numFmtId="183" fontId="20" fillId="77" borderId="0" xfId="4" applyNumberFormat="1" applyFont="1" applyFill="1"/>
    <xf numFmtId="0" fontId="20" fillId="77" borderId="140" xfId="4" applyFont="1" applyFill="1" applyBorder="1" applyAlignment="1">
      <alignment horizontal="left"/>
    </xf>
    <xf numFmtId="0" fontId="20" fillId="0" borderId="0" xfId="4" applyFill="1" applyBorder="1" applyAlignment="1">
      <alignment horizontal="center"/>
    </xf>
    <xf numFmtId="10" fontId="113" fillId="77" borderId="113" xfId="4" applyNumberFormat="1" applyFont="1" applyFill="1" applyBorder="1" applyAlignment="1">
      <alignment horizontal="center"/>
    </xf>
    <xf numFmtId="191" fontId="20" fillId="0" borderId="113" xfId="321" applyNumberFormat="1" applyFont="1" applyFill="1" applyBorder="1" applyAlignment="1">
      <alignment horizontal="center" vertical="center" wrapText="1"/>
    </xf>
    <xf numFmtId="10" fontId="113" fillId="77" borderId="117" xfId="4" applyNumberFormat="1" applyFont="1" applyFill="1" applyBorder="1" applyAlignment="1">
      <alignment horizontal="center"/>
    </xf>
    <xf numFmtId="10" fontId="113" fillId="77" borderId="120" xfId="4" applyNumberFormat="1" applyFont="1" applyFill="1" applyBorder="1" applyAlignment="1">
      <alignment horizontal="center"/>
    </xf>
    <xf numFmtId="9" fontId="113" fillId="78" borderId="120" xfId="4" applyNumberFormat="1" applyFont="1" applyFill="1" applyBorder="1" applyAlignment="1">
      <alignment horizontal="center"/>
    </xf>
    <xf numFmtId="189" fontId="113" fillId="78" borderId="120" xfId="4" applyNumberFormat="1" applyFont="1" applyFill="1" applyBorder="1" applyAlignment="1">
      <alignment horizontal="center"/>
    </xf>
    <xf numFmtId="191" fontId="20" fillId="0" borderId="120" xfId="321" applyNumberFormat="1" applyFont="1" applyFill="1" applyBorder="1" applyAlignment="1">
      <alignment horizontal="center" vertical="center" wrapText="1"/>
    </xf>
    <xf numFmtId="191" fontId="20" fillId="77" borderId="0" xfId="4" applyNumberFormat="1" applyFont="1" applyFill="1" applyAlignment="1">
      <alignment horizontal="center"/>
    </xf>
    <xf numFmtId="191" fontId="120" fillId="0" borderId="120" xfId="321" applyNumberFormat="1" applyFont="1" applyFill="1" applyBorder="1" applyAlignment="1">
      <alignment horizontal="center" vertical="center" wrapText="1"/>
    </xf>
    <xf numFmtId="0" fontId="20" fillId="77" borderId="0" xfId="4" applyFill="1"/>
    <xf numFmtId="58" fontId="115" fillId="77" borderId="0" xfId="4" applyNumberFormat="1" applyFont="1" applyFill="1" applyAlignment="1">
      <alignment horizontal="center"/>
    </xf>
    <xf numFmtId="0" fontId="74" fillId="0" borderId="0" xfId="4" applyFont="1" applyAlignment="1">
      <alignment vertical="center" wrapText="1"/>
    </xf>
    <xf numFmtId="0" fontId="124" fillId="0" borderId="179" xfId="4" applyFont="1" applyBorder="1" applyAlignment="1">
      <alignment horizontal="left" vertical="center" wrapText="1"/>
    </xf>
    <xf numFmtId="0" fontId="125" fillId="80" borderId="179" xfId="4" applyFont="1" applyFill="1" applyBorder="1" applyAlignment="1">
      <alignment horizontal="left" vertical="center" wrapText="1"/>
    </xf>
    <xf numFmtId="0" fontId="124" fillId="0" borderId="22" xfId="4" applyFont="1" applyBorder="1" applyAlignment="1">
      <alignment horizontal="left" vertical="center" wrapText="1"/>
    </xf>
    <xf numFmtId="0" fontId="126" fillId="0" borderId="179" xfId="4" applyFont="1" applyBorder="1" applyAlignment="1">
      <alignment horizontal="left" vertical="center" wrapText="1"/>
    </xf>
    <xf numFmtId="0" fontId="126" fillId="10" borderId="179" xfId="4" applyFont="1" applyFill="1" applyBorder="1" applyAlignment="1">
      <alignment horizontal="left" vertical="center" wrapText="1"/>
    </xf>
    <xf numFmtId="0" fontId="126" fillId="81" borderId="179" xfId="4" applyFont="1" applyFill="1" applyBorder="1" applyAlignment="1">
      <alignment horizontal="left" vertical="center" wrapText="1"/>
    </xf>
    <xf numFmtId="0" fontId="126" fillId="0" borderId="22" xfId="4" applyFont="1" applyBorder="1" applyAlignment="1">
      <alignment horizontal="left" vertical="center" wrapText="1"/>
    </xf>
    <xf numFmtId="0" fontId="127" fillId="0" borderId="22" xfId="4" applyFont="1" applyBorder="1" applyAlignment="1">
      <alignment horizontal="left" vertical="center" wrapText="1"/>
    </xf>
    <xf numFmtId="0" fontId="126" fillId="81" borderId="22" xfId="4" applyFont="1" applyFill="1" applyBorder="1" applyAlignment="1">
      <alignment horizontal="left" vertical="center" wrapText="1"/>
    </xf>
    <xf numFmtId="0" fontId="121" fillId="0" borderId="179" xfId="4" applyFont="1" applyBorder="1" applyAlignment="1">
      <alignment horizontal="left" vertical="center" wrapText="1"/>
    </xf>
    <xf numFmtId="0" fontId="126" fillId="82" borderId="179" xfId="4" applyFont="1" applyFill="1" applyBorder="1" applyAlignment="1">
      <alignment horizontal="left" vertical="center" wrapText="1"/>
    </xf>
    <xf numFmtId="0" fontId="126" fillId="82" borderId="22" xfId="4" applyFont="1" applyFill="1" applyBorder="1" applyAlignment="1">
      <alignment horizontal="left" vertical="center" wrapText="1"/>
    </xf>
    <xf numFmtId="0" fontId="126" fillId="10" borderId="22" xfId="4" applyFont="1" applyFill="1" applyBorder="1" applyAlignment="1">
      <alignment horizontal="left" vertical="center" wrapText="1"/>
    </xf>
    <xf numFmtId="0" fontId="125" fillId="80" borderId="22" xfId="4" applyFont="1" applyFill="1" applyBorder="1" applyAlignment="1">
      <alignment horizontal="left" vertical="center" wrapText="1"/>
    </xf>
    <xf numFmtId="0" fontId="128" fillId="83" borderId="10" xfId="4" applyFont="1" applyFill="1" applyBorder="1" applyAlignment="1">
      <alignment horizontal="left" vertical="center" wrapText="1"/>
    </xf>
    <xf numFmtId="0" fontId="129" fillId="83" borderId="179" xfId="4" applyFont="1" applyFill="1" applyBorder="1" applyAlignment="1">
      <alignment horizontal="left" vertical="center" wrapText="1"/>
    </xf>
    <xf numFmtId="0" fontId="129" fillId="83" borderId="22" xfId="4" applyFont="1" applyFill="1" applyBorder="1" applyAlignment="1">
      <alignment horizontal="left" vertical="center" wrapText="1"/>
    </xf>
    <xf numFmtId="0" fontId="5" fillId="0" borderId="180" xfId="4" applyFont="1" applyFill="1" applyBorder="1" applyAlignment="1">
      <alignment horizontal="center" vertical="center"/>
    </xf>
    <xf numFmtId="0" fontId="5" fillId="0" borderId="181" xfId="4" applyFont="1" applyFill="1" applyBorder="1" applyAlignment="1">
      <alignment horizontal="center" vertical="center"/>
    </xf>
    <xf numFmtId="0" fontId="5" fillId="0" borderId="182" xfId="4" applyFont="1" applyFill="1" applyBorder="1" applyAlignment="1">
      <alignment horizontal="center" vertical="center"/>
    </xf>
    <xf numFmtId="0" fontId="5" fillId="0" borderId="2" xfId="4" applyFont="1" applyFill="1" applyBorder="1" applyAlignment="1">
      <alignment horizontal="center" vertical="center"/>
    </xf>
    <xf numFmtId="0" fontId="20" fillId="0" borderId="0" xfId="4" applyFont="1"/>
    <xf numFmtId="0" fontId="130" fillId="0" borderId="2" xfId="4" applyFont="1" applyBorder="1" applyAlignment="1">
      <alignment horizontal="center" vertical="center"/>
    </xf>
    <xf numFmtId="0" fontId="20" fillId="0" borderId="0" xfId="4" applyFill="1"/>
    <xf numFmtId="0" fontId="131" fillId="0" borderId="2" xfId="4" applyFont="1" applyBorder="1" applyAlignment="1">
      <alignment horizontal="center" vertical="center" wrapText="1"/>
    </xf>
    <xf numFmtId="0" fontId="5" fillId="0" borderId="187" xfId="4" applyFont="1" applyBorder="1" applyAlignment="1">
      <alignment horizontal="center" vertical="center"/>
    </xf>
    <xf numFmtId="0" fontId="5" fillId="0" borderId="43" xfId="4" applyFont="1" applyBorder="1" applyAlignment="1">
      <alignment horizontal="center" vertical="center"/>
    </xf>
    <xf numFmtId="0" fontId="20" fillId="0" borderId="0" xfId="4" applyAlignment="1">
      <alignment horizontal="center"/>
    </xf>
    <xf numFmtId="0" fontId="20" fillId="0" borderId="0" xfId="4" applyBorder="1" applyAlignment="1">
      <alignment horizontal="center"/>
    </xf>
    <xf numFmtId="183" fontId="20" fillId="0" borderId="0" xfId="320" applyNumberFormat="1" applyFont="1" applyFill="1" applyBorder="1" applyAlignment="1">
      <alignment horizontal="center" vertical="center"/>
    </xf>
    <xf numFmtId="0" fontId="20" fillId="0" borderId="0" xfId="320" applyNumberFormat="1" applyFont="1" applyFill="1" applyBorder="1" applyAlignment="1">
      <alignment horizontal="center" vertical="center"/>
    </xf>
    <xf numFmtId="0" fontId="20" fillId="0" borderId="0" xfId="4" applyFont="1" applyBorder="1" applyAlignment="1">
      <alignment horizontal="center"/>
    </xf>
    <xf numFmtId="183" fontId="20" fillId="0" borderId="0" xfId="4" applyNumberFormat="1"/>
    <xf numFmtId="0" fontId="20" fillId="0" borderId="0" xfId="4" applyFont="1" applyAlignment="1">
      <alignment horizontal="center"/>
    </xf>
    <xf numFmtId="0" fontId="20" fillId="0" borderId="162" xfId="4" applyBorder="1" applyAlignment="1">
      <alignment horizontal="center"/>
    </xf>
    <xf numFmtId="0" fontId="20" fillId="0" borderId="148" xfId="4" applyBorder="1" applyAlignment="1">
      <alignment horizontal="center"/>
    </xf>
    <xf numFmtId="0" fontId="20" fillId="77" borderId="148" xfId="4" applyFont="1" applyFill="1" applyBorder="1" applyAlignment="1">
      <alignment horizontal="center"/>
    </xf>
    <xf numFmtId="0" fontId="20" fillId="77" borderId="201" xfId="4" applyFont="1" applyFill="1" applyBorder="1" applyAlignment="1">
      <alignment horizontal="center"/>
    </xf>
    <xf numFmtId="0" fontId="20" fillId="77" borderId="210" xfId="4" applyFont="1" applyFill="1" applyBorder="1" applyAlignment="1">
      <alignment horizontal="center"/>
    </xf>
    <xf numFmtId="0" fontId="20" fillId="77" borderId="214" xfId="4" applyFill="1" applyBorder="1" applyAlignment="1">
      <alignment horizontal="center"/>
    </xf>
    <xf numFmtId="0" fontId="20" fillId="77" borderId="214" xfId="4" applyFont="1" applyFill="1" applyBorder="1" applyAlignment="1">
      <alignment horizontal="center"/>
    </xf>
    <xf numFmtId="192" fontId="114" fillId="78" borderId="87" xfId="1" applyNumberFormat="1" applyFont="1" applyFill="1" applyBorder="1" applyAlignment="1">
      <alignment horizontal="center" vertical="center" wrapText="1"/>
    </xf>
    <xf numFmtId="0" fontId="114" fillId="0" borderId="181" xfId="1" applyFont="1" applyFill="1" applyBorder="1" applyAlignment="1">
      <alignment horizontal="center" vertical="center" wrapText="1"/>
    </xf>
    <xf numFmtId="0" fontId="114" fillId="0" borderId="2" xfId="1" applyFont="1" applyFill="1" applyBorder="1" applyAlignment="1">
      <alignment horizontal="center" vertical="center" wrapText="1"/>
    </xf>
    <xf numFmtId="0" fontId="20" fillId="0" borderId="2" xfId="4" applyFont="1" applyFill="1" applyBorder="1" applyAlignment="1">
      <alignment horizontal="center" vertical="center" wrapText="1"/>
    </xf>
    <xf numFmtId="196" fontId="20" fillId="0" borderId="2" xfId="4" applyNumberFormat="1" applyFont="1" applyFill="1" applyBorder="1" applyAlignment="1">
      <alignment horizontal="center" vertical="center" wrapText="1"/>
    </xf>
    <xf numFmtId="0" fontId="20" fillId="77" borderId="0" xfId="4" applyFill="1" applyAlignment="1">
      <alignment horizontal="left"/>
    </xf>
    <xf numFmtId="0" fontId="14" fillId="0" borderId="0" xfId="244" applyFont="1" applyAlignment="1">
      <alignment vertical="center"/>
    </xf>
    <xf numFmtId="0" fontId="14" fillId="84" borderId="0" xfId="244" applyFont="1" applyFill="1" applyAlignment="1">
      <alignment vertical="center"/>
    </xf>
    <xf numFmtId="0" fontId="132" fillId="0" borderId="0" xfId="244" applyFont="1" applyAlignment="1">
      <alignment vertical="center"/>
    </xf>
    <xf numFmtId="0" fontId="124" fillId="85" borderId="222" xfId="244" applyFont="1" applyFill="1" applyBorder="1" applyAlignment="1">
      <alignment horizontal="center" vertical="center" wrapText="1" readingOrder="1"/>
    </xf>
    <xf numFmtId="0" fontId="124" fillId="85" borderId="223" xfId="244" applyFont="1" applyFill="1" applyBorder="1" applyAlignment="1">
      <alignment horizontal="center" vertical="center" wrapText="1" readingOrder="1"/>
    </xf>
    <xf numFmtId="0" fontId="124" fillId="86" borderId="226" xfId="244" applyFont="1" applyFill="1" applyBorder="1" applyAlignment="1">
      <alignment horizontal="center" vertical="center" wrapText="1" readingOrder="1"/>
    </xf>
    <xf numFmtId="0" fontId="124" fillId="86" borderId="227" xfId="244" applyFont="1" applyFill="1" applyBorder="1" applyAlignment="1">
      <alignment horizontal="center" vertical="center" wrapText="1" readingOrder="1"/>
    </xf>
    <xf numFmtId="0" fontId="2" fillId="0" borderId="0" xfId="244" applyFont="1"/>
    <xf numFmtId="0" fontId="133" fillId="87" borderId="230" xfId="244" applyFont="1" applyFill="1" applyBorder="1" applyAlignment="1">
      <alignment horizontal="center" vertical="center" wrapText="1" readingOrder="1"/>
    </xf>
    <xf numFmtId="0" fontId="133" fillId="87" borderId="231" xfId="244" applyFont="1" applyFill="1" applyBorder="1" applyAlignment="1">
      <alignment horizontal="center" vertical="center" wrapText="1" readingOrder="1"/>
    </xf>
    <xf numFmtId="0" fontId="14" fillId="0" borderId="0" xfId="244" applyFont="1" applyAlignment="1">
      <alignment horizontal="left" vertical="center" indent="1"/>
    </xf>
    <xf numFmtId="178" fontId="14" fillId="74" borderId="24" xfId="235" applyNumberFormat="1" applyFont="1" applyFill="1" applyBorder="1" applyAlignment="1">
      <alignment horizontal="center" vertical="center" wrapText="1"/>
    </xf>
    <xf numFmtId="178" fontId="134" fillId="74" borderId="234" xfId="322" applyNumberFormat="1" applyFont="1" applyFill="1" applyBorder="1" applyAlignment="1">
      <alignment horizontal="center" vertical="top"/>
    </xf>
    <xf numFmtId="178" fontId="14" fillId="74" borderId="234" xfId="235" applyNumberFormat="1" applyFont="1" applyFill="1" applyBorder="1" applyAlignment="1">
      <alignment horizontal="center" vertical="center" wrapText="1"/>
    </xf>
    <xf numFmtId="179" fontId="14" fillId="0" borderId="234" xfId="244" applyNumberFormat="1" applyFont="1" applyBorder="1" applyAlignment="1">
      <alignment horizontal="center" vertical="center"/>
    </xf>
    <xf numFmtId="0" fontId="14" fillId="0" borderId="234" xfId="244" applyFont="1" applyBorder="1" applyAlignment="1">
      <alignment horizontal="center" vertical="center"/>
    </xf>
    <xf numFmtId="0" fontId="14" fillId="0" borderId="23" xfId="244" applyFont="1" applyBorder="1" applyAlignment="1">
      <alignment vertical="center"/>
    </xf>
    <xf numFmtId="0" fontId="14" fillId="0" borderId="15" xfId="244" applyFont="1" applyBorder="1" applyAlignment="1">
      <alignment vertical="center"/>
    </xf>
    <xf numFmtId="0" fontId="14" fillId="0" borderId="235" xfId="244" applyFont="1" applyBorder="1" applyAlignment="1">
      <alignment vertical="center"/>
    </xf>
    <xf numFmtId="0" fontId="14" fillId="0" borderId="235" xfId="244" applyFont="1" applyBorder="1" applyAlignment="1">
      <alignment horizontal="center" vertical="center"/>
    </xf>
    <xf numFmtId="0" fontId="14" fillId="0" borderId="14" xfId="244" applyFont="1" applyBorder="1" applyAlignment="1">
      <alignment vertical="center"/>
    </xf>
    <xf numFmtId="0" fontId="99" fillId="68" borderId="76" xfId="3" applyFont="1" applyFill="1" applyBorder="1" applyAlignment="1">
      <alignment horizontal="center" vertical="center" wrapText="1"/>
    </xf>
    <xf numFmtId="0" fontId="14" fillId="88" borderId="181" xfId="244" applyFont="1" applyFill="1" applyBorder="1" applyAlignment="1">
      <alignment horizontal="center" vertical="center"/>
    </xf>
    <xf numFmtId="0" fontId="93" fillId="0" borderId="0" xfId="244" applyFont="1" applyAlignment="1">
      <alignment vertical="center"/>
    </xf>
    <xf numFmtId="0" fontId="19" fillId="0" borderId="0" xfId="244" applyFont="1" applyAlignment="1">
      <alignment vertical="center"/>
    </xf>
    <xf numFmtId="0" fontId="14" fillId="0" borderId="23" xfId="244" applyFont="1" applyBorder="1" applyAlignment="1">
      <alignment vertical="center" wrapText="1"/>
    </xf>
    <xf numFmtId="0" fontId="14" fillId="0" borderId="14" xfId="244" applyFont="1" applyBorder="1" applyAlignment="1">
      <alignment vertical="center" wrapText="1"/>
    </xf>
    <xf numFmtId="0" fontId="135" fillId="89" borderId="55" xfId="244" applyFont="1" applyFill="1" applyBorder="1" applyAlignment="1">
      <alignment horizontal="center" vertical="center"/>
    </xf>
    <xf numFmtId="0" fontId="14" fillId="90" borderId="181" xfId="244" applyFont="1" applyFill="1" applyBorder="1" applyAlignment="1">
      <alignment horizontal="center" vertical="center"/>
    </xf>
    <xf numFmtId="190" fontId="14" fillId="0" borderId="0" xfId="244" applyNumberFormat="1" applyFont="1" applyAlignment="1">
      <alignment vertical="center"/>
    </xf>
    <xf numFmtId="0" fontId="119" fillId="70" borderId="55" xfId="244" applyFont="1" applyFill="1" applyBorder="1" applyAlignment="1">
      <alignment horizontal="center" vertical="center"/>
    </xf>
    <xf numFmtId="179" fontId="119" fillId="70" borderId="55" xfId="244" applyNumberFormat="1" applyFont="1" applyFill="1" applyBorder="1" applyAlignment="1">
      <alignment horizontal="center" vertical="center"/>
    </xf>
    <xf numFmtId="0" fontId="119" fillId="70" borderId="55" xfId="244" applyFont="1" applyFill="1" applyBorder="1" applyAlignment="1">
      <alignment vertical="center"/>
    </xf>
    <xf numFmtId="0" fontId="136" fillId="91" borderId="55" xfId="244" applyFont="1" applyFill="1" applyBorder="1" applyAlignment="1">
      <alignment horizontal="center" vertical="center"/>
    </xf>
    <xf numFmtId="0" fontId="119" fillId="91" borderId="55" xfId="244" applyFont="1" applyFill="1" applyBorder="1" applyAlignment="1">
      <alignment horizontal="center" vertical="center"/>
    </xf>
    <xf numFmtId="179" fontId="119" fillId="91" borderId="55" xfId="244" applyNumberFormat="1" applyFont="1" applyFill="1" applyBorder="1" applyAlignment="1">
      <alignment horizontal="center" vertical="center"/>
    </xf>
    <xf numFmtId="0" fontId="119" fillId="92" borderId="55" xfId="244" applyFont="1" applyFill="1" applyBorder="1" applyAlignment="1">
      <alignment vertical="center"/>
    </xf>
    <xf numFmtId="0" fontId="14" fillId="0" borderId="0" xfId="244" applyFont="1" applyAlignment="1">
      <alignment horizontal="center" vertical="center"/>
    </xf>
    <xf numFmtId="0" fontId="135" fillId="89" borderId="55" xfId="244" applyFont="1" applyFill="1" applyBorder="1" applyAlignment="1">
      <alignment horizontal="center" vertical="center" wrapText="1"/>
    </xf>
    <xf numFmtId="0" fontId="135" fillId="89" borderId="55" xfId="244" applyFont="1" applyFill="1" applyBorder="1" applyAlignment="1">
      <alignment vertical="center"/>
    </xf>
    <xf numFmtId="178" fontId="14" fillId="0" borderId="2" xfId="257" applyNumberFormat="1" applyFont="1" applyFill="1" applyBorder="1" applyAlignment="1">
      <alignment horizontal="center" vertical="center"/>
    </xf>
    <xf numFmtId="178" fontId="14" fillId="0" borderId="181" xfId="257" applyNumberFormat="1" applyFont="1" applyFill="1" applyBorder="1" applyAlignment="1">
      <alignment horizontal="center" vertical="center"/>
    </xf>
    <xf numFmtId="0" fontId="14" fillId="0" borderId="2" xfId="257" applyFont="1" applyFill="1" applyBorder="1" applyAlignment="1">
      <alignment horizontal="center" vertical="center"/>
    </xf>
    <xf numFmtId="178" fontId="14" fillId="0" borderId="2" xfId="257" applyNumberFormat="1" applyFont="1" applyFill="1" applyBorder="1" applyAlignment="1">
      <alignment vertical="center"/>
    </xf>
    <xf numFmtId="178" fontId="14" fillId="13" borderId="16" xfId="2" applyNumberFormat="1" applyFont="1" applyFill="1" applyBorder="1"/>
    <xf numFmtId="179" fontId="14" fillId="13" borderId="16" xfId="2" applyNumberFormat="1" applyFont="1" applyFill="1" applyBorder="1"/>
    <xf numFmtId="178" fontId="14" fillId="0" borderId="19" xfId="2" applyNumberFormat="1" applyFont="1" applyFill="1" applyBorder="1" applyAlignment="1">
      <alignment horizontal="center"/>
    </xf>
    <xf numFmtId="0" fontId="17" fillId="7" borderId="5" xfId="2" applyFont="1" applyFill="1" applyBorder="1" applyAlignment="1">
      <alignment horizontal="center" vertical="center"/>
    </xf>
    <xf numFmtId="0" fontId="17" fillId="7" borderId="6" xfId="2" applyFont="1" applyFill="1" applyBorder="1" applyAlignment="1">
      <alignment horizontal="center" vertical="center"/>
    </xf>
    <xf numFmtId="0" fontId="17" fillId="7" borderId="7" xfId="2" applyFont="1" applyFill="1" applyBorder="1" applyAlignment="1">
      <alignment horizontal="center" vertical="center"/>
    </xf>
    <xf numFmtId="0" fontId="1" fillId="0" borderId="0" xfId="1" applyFont="1" applyAlignment="1"/>
    <xf numFmtId="178" fontId="14" fillId="10" borderId="35" xfId="2" applyNumberFormat="1" applyFont="1" applyFill="1" applyBorder="1" applyAlignment="1">
      <alignment horizontal="center"/>
    </xf>
    <xf numFmtId="0" fontId="22" fillId="0" borderId="77" xfId="1" applyFont="1" applyBorder="1">
      <alignment vertical="center"/>
    </xf>
    <xf numFmtId="0" fontId="2" fillId="0" borderId="77" xfId="1" applyFont="1" applyBorder="1">
      <alignment vertical="center"/>
    </xf>
    <xf numFmtId="0" fontId="2" fillId="0" borderId="77" xfId="1" applyBorder="1">
      <alignment vertical="center"/>
    </xf>
    <xf numFmtId="0" fontId="2" fillId="0" borderId="107" xfId="1" applyBorder="1">
      <alignment vertical="center"/>
    </xf>
    <xf numFmtId="0" fontId="20" fillId="77" borderId="0" xfId="4" applyFont="1" applyFill="1" applyAlignment="1">
      <alignment horizontal="left"/>
    </xf>
    <xf numFmtId="0" fontId="116" fillId="77" borderId="0" xfId="4" applyFont="1" applyFill="1" applyAlignment="1">
      <alignment horizontal="center"/>
    </xf>
    <xf numFmtId="0" fontId="20" fillId="77" borderId="0" xfId="4" applyFont="1" applyFill="1" applyBorder="1" applyAlignment="1">
      <alignment horizontal="left"/>
    </xf>
    <xf numFmtId="0" fontId="107" fillId="7" borderId="83" xfId="228" applyFont="1" applyFill="1" applyBorder="1" applyAlignment="1">
      <alignment vertical="center" wrapText="1"/>
    </xf>
    <xf numFmtId="0" fontId="104" fillId="7" borderId="79" xfId="228" applyFont="1" applyFill="1" applyBorder="1" applyAlignment="1">
      <alignment horizontal="center" vertical="center" wrapText="1"/>
    </xf>
    <xf numFmtId="0" fontId="104" fillId="7" borderId="238" xfId="228" applyFont="1" applyFill="1" applyBorder="1" applyAlignment="1">
      <alignment horizontal="center" vertical="center" wrapText="1"/>
    </xf>
    <xf numFmtId="0" fontId="104" fillId="7" borderId="0" xfId="228" applyFont="1" applyFill="1" applyBorder="1" applyAlignment="1">
      <alignment horizontal="center" vertical="center" wrapText="1"/>
    </xf>
    <xf numFmtId="0" fontId="20" fillId="13" borderId="106" xfId="4" applyFont="1" applyFill="1" applyBorder="1" applyAlignment="1">
      <alignment horizontal="left"/>
    </xf>
    <xf numFmtId="0" fontId="115" fillId="13" borderId="17" xfId="4" applyFont="1" applyFill="1" applyBorder="1" applyAlignment="1">
      <alignment horizontal="center"/>
    </xf>
    <xf numFmtId="0" fontId="118" fillId="93" borderId="120" xfId="4" applyFont="1" applyFill="1" applyBorder="1" applyAlignment="1">
      <alignment horizontal="center" vertical="center"/>
    </xf>
    <xf numFmtId="0" fontId="118" fillId="93" borderId="124" xfId="4" applyFont="1" applyFill="1" applyBorder="1" applyAlignment="1">
      <alignment horizontal="center" vertical="center"/>
    </xf>
    <xf numFmtId="0" fontId="118" fillId="93" borderId="119" xfId="4" applyFont="1" applyFill="1" applyBorder="1" applyAlignment="1">
      <alignment horizontal="center" vertical="center"/>
    </xf>
    <xf numFmtId="0" fontId="118" fillId="93" borderId="121" xfId="4" applyFont="1" applyFill="1" applyBorder="1" applyAlignment="1">
      <alignment horizontal="center"/>
    </xf>
    <xf numFmtId="0" fontId="118" fillId="93" borderId="120" xfId="4" applyFont="1" applyFill="1" applyBorder="1"/>
    <xf numFmtId="183" fontId="113" fillId="78" borderId="126" xfId="4" applyNumberFormat="1" applyFont="1" applyFill="1" applyBorder="1" applyAlignment="1">
      <alignment horizontal="center"/>
    </xf>
    <xf numFmtId="0" fontId="118" fillId="3" borderId="121" xfId="4" applyFont="1" applyFill="1" applyBorder="1" applyAlignment="1">
      <alignment horizontal="center"/>
    </xf>
    <xf numFmtId="0" fontId="118" fillId="3" borderId="124" xfId="4" applyFont="1" applyFill="1" applyBorder="1"/>
    <xf numFmtId="9" fontId="112" fillId="78" borderId="241" xfId="4" applyNumberFormat="1" applyFont="1" applyFill="1" applyBorder="1" applyAlignment="1">
      <alignment horizontal="center"/>
    </xf>
    <xf numFmtId="0" fontId="118" fillId="3" borderId="120" xfId="4" applyFont="1" applyFill="1" applyBorder="1"/>
    <xf numFmtId="0" fontId="138" fillId="93" borderId="110" xfId="4" applyFont="1" applyFill="1" applyBorder="1" applyAlignment="1">
      <alignment horizontal="center" vertical="center"/>
    </xf>
    <xf numFmtId="0" fontId="118" fillId="3" borderId="114" xfId="4" applyFont="1" applyFill="1" applyBorder="1" applyAlignment="1">
      <alignment horizontal="center"/>
    </xf>
    <xf numFmtId="0" fontId="118" fillId="3" borderId="113" xfId="4" applyFont="1" applyFill="1" applyBorder="1"/>
    <xf numFmtId="10" fontId="112" fillId="78" borderId="192" xfId="4" applyNumberFormat="1" applyFont="1" applyFill="1" applyBorder="1" applyAlignment="1"/>
    <xf numFmtId="0" fontId="20" fillId="13" borderId="43" xfId="4" applyFont="1" applyFill="1" applyBorder="1"/>
    <xf numFmtId="0" fontId="20" fillId="13" borderId="17" xfId="4" applyFont="1" applyFill="1" applyBorder="1" applyAlignment="1">
      <alignment horizontal="center"/>
    </xf>
    <xf numFmtId="0" fontId="118" fillId="3" borderId="153" xfId="4" applyFont="1" applyFill="1" applyBorder="1" applyAlignment="1">
      <alignment horizontal="center" vertical="center"/>
    </xf>
    <xf numFmtId="0" fontId="118" fillId="93" borderId="143" xfId="4" applyFont="1" applyFill="1" applyBorder="1" applyAlignment="1">
      <alignment horizontal="center" vertical="center"/>
    </xf>
    <xf numFmtId="0" fontId="118" fillId="93" borderId="151" xfId="4" applyFont="1" applyFill="1" applyBorder="1" applyAlignment="1">
      <alignment horizontal="center" vertical="center"/>
    </xf>
    <xf numFmtId="0" fontId="118" fillId="93" borderId="149" xfId="4" applyFont="1" applyFill="1" applyBorder="1" applyAlignment="1">
      <alignment horizontal="center"/>
    </xf>
    <xf numFmtId="0" fontId="118" fillId="93" borderId="150" xfId="4" applyFont="1" applyFill="1" applyBorder="1"/>
    <xf numFmtId="0" fontId="118" fillId="93" borderId="148" xfId="4" applyFont="1" applyFill="1" applyBorder="1"/>
    <xf numFmtId="0" fontId="118" fillId="93" borderId="147" xfId="4" applyFont="1" applyFill="1" applyBorder="1" applyAlignment="1">
      <alignment horizontal="center"/>
    </xf>
    <xf numFmtId="0" fontId="118" fillId="93" borderId="141" xfId="4" applyFont="1" applyFill="1" applyBorder="1"/>
    <xf numFmtId="0" fontId="20" fillId="13" borderId="106" xfId="4" applyFont="1" applyFill="1" applyBorder="1" applyAlignment="1">
      <alignment horizontal="left" vertical="top"/>
    </xf>
    <xf numFmtId="0" fontId="20" fillId="13" borderId="17" xfId="4" applyFill="1" applyBorder="1"/>
    <xf numFmtId="0" fontId="118" fillId="3" borderId="146" xfId="4" applyFont="1" applyFill="1" applyBorder="1" applyAlignment="1">
      <alignment horizontal="center" vertical="center"/>
    </xf>
    <xf numFmtId="0" fontId="118" fillId="93" borderId="142" xfId="4" applyFont="1" applyFill="1" applyBorder="1" applyAlignment="1">
      <alignment horizontal="center"/>
    </xf>
    <xf numFmtId="0" fontId="116" fillId="13" borderId="17" xfId="4" applyFont="1" applyFill="1" applyBorder="1" applyAlignment="1">
      <alignment horizontal="center"/>
    </xf>
    <xf numFmtId="58" fontId="118" fillId="3" borderId="207" xfId="4" applyNumberFormat="1" applyFont="1" applyFill="1" applyBorder="1" applyAlignment="1">
      <alignment horizontal="center" vertical="center"/>
    </xf>
    <xf numFmtId="189" fontId="113" fillId="78" borderId="242" xfId="4" applyNumberFormat="1" applyFont="1" applyFill="1" applyBorder="1" applyAlignment="1">
      <alignment horizontal="center" vertical="center"/>
    </xf>
    <xf numFmtId="0" fontId="139" fillId="93" borderId="178" xfId="4" applyFont="1" applyFill="1" applyBorder="1" applyAlignment="1">
      <alignment horizontal="center" vertical="center"/>
    </xf>
    <xf numFmtId="58" fontId="118" fillId="93" borderId="176" xfId="4" applyNumberFormat="1" applyFont="1" applyFill="1" applyBorder="1" applyAlignment="1">
      <alignment horizontal="center" vertical="center"/>
    </xf>
    <xf numFmtId="58" fontId="118" fillId="93" borderId="131" xfId="4" applyNumberFormat="1" applyFont="1" applyFill="1" applyBorder="1" applyAlignment="1">
      <alignment horizontal="center" vertical="center"/>
    </xf>
    <xf numFmtId="58" fontId="118" fillId="3" borderId="131" xfId="4" applyNumberFormat="1" applyFont="1" applyFill="1" applyBorder="1" applyAlignment="1">
      <alignment horizontal="center" vertical="center"/>
    </xf>
    <xf numFmtId="58" fontId="118" fillId="93" borderId="177" xfId="4" applyNumberFormat="1" applyFont="1" applyFill="1" applyBorder="1" applyAlignment="1">
      <alignment horizontal="center" vertical="center"/>
    </xf>
    <xf numFmtId="0" fontId="118" fillId="93" borderId="114" xfId="4" applyFont="1" applyFill="1" applyBorder="1" applyAlignment="1">
      <alignment horizontal="center"/>
    </xf>
    <xf numFmtId="58" fontId="20" fillId="13" borderId="17" xfId="4" applyNumberFormat="1" applyFont="1" applyFill="1" applyBorder="1" applyAlignment="1">
      <alignment horizontal="center"/>
    </xf>
    <xf numFmtId="0" fontId="118" fillId="93" borderId="174" xfId="4" applyFont="1" applyFill="1" applyBorder="1" applyAlignment="1">
      <alignment horizontal="center" vertical="center"/>
    </xf>
    <xf numFmtId="0" fontId="118" fillId="93" borderId="173" xfId="4" applyFont="1" applyFill="1" applyBorder="1" applyAlignment="1">
      <alignment horizontal="center" vertical="center"/>
    </xf>
    <xf numFmtId="0" fontId="118" fillId="93" borderId="168" xfId="4" applyFont="1" applyFill="1" applyBorder="1" applyAlignment="1">
      <alignment horizontal="center" vertical="center" wrapText="1"/>
    </xf>
    <xf numFmtId="0" fontId="118" fillId="93" borderId="166" xfId="4" applyFont="1" applyFill="1" applyBorder="1" applyAlignment="1">
      <alignment horizontal="center" vertical="center" wrapText="1"/>
    </xf>
    <xf numFmtId="0" fontId="118" fillId="3" borderId="167" xfId="4" applyFont="1" applyFill="1" applyBorder="1" applyAlignment="1">
      <alignment horizontal="center" vertical="center" wrapText="1"/>
    </xf>
    <xf numFmtId="0" fontId="118" fillId="3" borderId="166" xfId="4" applyFont="1" applyFill="1" applyBorder="1" applyAlignment="1">
      <alignment horizontal="center" vertical="center" wrapText="1"/>
    </xf>
    <xf numFmtId="0" fontId="118" fillId="93" borderId="165" xfId="4" applyFont="1" applyFill="1" applyBorder="1" applyAlignment="1">
      <alignment horizontal="center" vertical="center" wrapText="1"/>
    </xf>
    <xf numFmtId="0" fontId="118" fillId="93" borderId="158" xfId="4" applyFont="1" applyFill="1" applyBorder="1" applyAlignment="1">
      <alignment horizontal="center" vertical="center" wrapText="1"/>
    </xf>
    <xf numFmtId="0" fontId="118" fillId="93" borderId="148" xfId="4" applyFont="1" applyFill="1" applyBorder="1" applyAlignment="1">
      <alignment horizontal="center" vertical="center" wrapText="1"/>
    </xf>
    <xf numFmtId="0" fontId="20" fillId="13" borderId="106" xfId="4" applyFont="1" applyFill="1" applyBorder="1"/>
    <xf numFmtId="0" fontId="20" fillId="13" borderId="43" xfId="4" applyFill="1" applyBorder="1"/>
    <xf numFmtId="0" fontId="20" fillId="13" borderId="106" xfId="4" applyFill="1" applyBorder="1" applyAlignment="1">
      <alignment horizontal="left"/>
    </xf>
    <xf numFmtId="0" fontId="20" fillId="13" borderId="43" xfId="4" applyFill="1" applyBorder="1" applyAlignment="1">
      <alignment horizontal="left"/>
    </xf>
    <xf numFmtId="0" fontId="74" fillId="13" borderId="17" xfId="4" applyFont="1" applyFill="1" applyBorder="1" applyAlignment="1">
      <alignment horizontal="center"/>
    </xf>
    <xf numFmtId="194" fontId="118" fillId="93" borderId="221" xfId="320" applyNumberFormat="1" applyFont="1" applyFill="1" applyBorder="1" applyAlignment="1">
      <alignment horizontal="center" vertical="center" wrapText="1"/>
    </xf>
    <xf numFmtId="194" fontId="118" fillId="93" borderId="184" xfId="320" applyNumberFormat="1" applyFont="1" applyFill="1" applyBorder="1" applyAlignment="1">
      <alignment horizontal="center" vertical="center" wrapText="1"/>
    </xf>
    <xf numFmtId="194" fontId="118" fillId="93" borderId="220" xfId="320" applyNumberFormat="1" applyFont="1" applyFill="1" applyBorder="1" applyAlignment="1">
      <alignment horizontal="center" vertical="center" wrapText="1"/>
    </xf>
    <xf numFmtId="0" fontId="118" fillId="0" borderId="103" xfId="4" applyFont="1" applyFill="1" applyBorder="1" applyAlignment="1">
      <alignment horizontal="center" vertical="center" wrapText="1"/>
    </xf>
    <xf numFmtId="0" fontId="118" fillId="0" borderId="101" xfId="4" applyFont="1" applyFill="1" applyBorder="1" applyAlignment="1">
      <alignment horizontal="center" vertical="center" wrapText="1"/>
    </xf>
    <xf numFmtId="0" fontId="118" fillId="93" borderId="203" xfId="4" applyFont="1" applyFill="1" applyBorder="1" applyAlignment="1">
      <alignment horizontal="center" vertical="center"/>
    </xf>
    <xf numFmtId="194" fontId="118" fillId="94" borderId="196" xfId="320" applyNumberFormat="1" applyFont="1" applyFill="1" applyBorder="1" applyAlignment="1">
      <alignment horizontal="center" vertical="center"/>
    </xf>
    <xf numFmtId="0" fontId="118" fillId="93" borderId="189" xfId="4" applyFont="1" applyFill="1" applyBorder="1" applyAlignment="1">
      <alignment horizontal="center" vertical="center"/>
    </xf>
    <xf numFmtId="0" fontId="118" fillId="93" borderId="189" xfId="4" applyFont="1" applyFill="1" applyBorder="1" applyAlignment="1">
      <alignment horizontal="center"/>
    </xf>
    <xf numFmtId="0" fontId="118" fillId="93" borderId="195" xfId="4" applyFont="1" applyFill="1" applyBorder="1" applyAlignment="1">
      <alignment horizontal="center" vertical="center"/>
    </xf>
    <xf numFmtId="183" fontId="20" fillId="0" borderId="0" xfId="4" applyNumberFormat="1" applyFill="1" applyBorder="1" applyAlignment="1">
      <alignment horizontal="center" vertical="center"/>
    </xf>
    <xf numFmtId="0" fontId="20" fillId="0" borderId="0" xfId="4" applyFill="1" applyBorder="1" applyAlignment="1">
      <alignment horizontal="center" vertical="center"/>
    </xf>
    <xf numFmtId="0" fontId="20" fillId="0" borderId="0" xfId="4" applyFont="1" applyFill="1" applyBorder="1" applyAlignment="1">
      <alignment horizontal="center" vertical="center"/>
    </xf>
    <xf numFmtId="194" fontId="118" fillId="93" borderId="219" xfId="320" applyNumberFormat="1" applyFont="1" applyFill="1" applyBorder="1" applyAlignment="1">
      <alignment horizontal="center" vertical="center"/>
    </xf>
    <xf numFmtId="0" fontId="118" fillId="93" borderId="218" xfId="4" applyFont="1" applyFill="1" applyBorder="1" applyAlignment="1">
      <alignment horizontal="center" vertical="center"/>
    </xf>
    <xf numFmtId="0" fontId="118" fillId="77" borderId="215" xfId="4" applyFont="1" applyFill="1" applyBorder="1" applyAlignment="1">
      <alignment horizontal="center"/>
    </xf>
    <xf numFmtId="0" fontId="118" fillId="77" borderId="211" xfId="4" applyFont="1" applyFill="1" applyBorder="1" applyAlignment="1">
      <alignment horizontal="center"/>
    </xf>
    <xf numFmtId="0" fontId="20" fillId="13" borderId="17" xfId="4" applyFill="1" applyBorder="1" applyAlignment="1">
      <alignment horizontal="center"/>
    </xf>
    <xf numFmtId="194" fontId="118" fillId="93" borderId="206" xfId="320" applyNumberFormat="1" applyFont="1" applyFill="1" applyBorder="1" applyAlignment="1">
      <alignment horizontal="center" vertical="center"/>
    </xf>
    <xf numFmtId="0" fontId="118" fillId="93" borderId="205" xfId="4" applyFont="1" applyFill="1" applyBorder="1" applyAlignment="1">
      <alignment horizontal="center" vertical="center"/>
    </xf>
    <xf numFmtId="0" fontId="118" fillId="93" borderId="204" xfId="4" applyFont="1" applyFill="1" applyBorder="1" applyAlignment="1">
      <alignment horizontal="center" vertical="center"/>
    </xf>
    <xf numFmtId="0" fontId="118" fillId="94" borderId="183" xfId="4" applyFont="1" applyFill="1" applyBorder="1" applyAlignment="1">
      <alignment horizontal="center" vertical="center"/>
    </xf>
    <xf numFmtId="0" fontId="118" fillId="93" borderId="202" xfId="4" applyFont="1" applyFill="1" applyBorder="1" applyAlignment="1">
      <alignment horizontal="center"/>
    </xf>
    <xf numFmtId="0" fontId="20" fillId="78" borderId="200" xfId="4" applyFont="1" applyFill="1" applyBorder="1" applyAlignment="1">
      <alignment horizontal="center"/>
    </xf>
    <xf numFmtId="10" fontId="20" fillId="78" borderId="199" xfId="4" applyNumberFormat="1" applyFill="1" applyBorder="1" applyAlignment="1">
      <alignment horizontal="center"/>
    </xf>
    <xf numFmtId="194" fontId="118" fillId="93" borderId="198" xfId="320" applyNumberFormat="1" applyFont="1" applyFill="1" applyBorder="1" applyAlignment="1">
      <alignment horizontal="center" vertical="center"/>
    </xf>
    <xf numFmtId="193" fontId="20" fillId="78" borderId="170" xfId="320" applyNumberFormat="1" applyFont="1" applyFill="1" applyBorder="1" applyAlignment="1">
      <alignment horizontal="center" vertical="center"/>
    </xf>
    <xf numFmtId="10" fontId="20" fillId="78" borderId="185" xfId="4" applyNumberFormat="1" applyFill="1" applyBorder="1" applyAlignment="1">
      <alignment horizontal="center"/>
    </xf>
    <xf numFmtId="194" fontId="118" fillId="93" borderId="197" xfId="320" applyNumberFormat="1" applyFont="1" applyFill="1" applyBorder="1" applyAlignment="1">
      <alignment horizontal="center" vertical="center"/>
    </xf>
    <xf numFmtId="194" fontId="118" fillId="93" borderId="184" xfId="320" applyNumberFormat="1" applyFont="1" applyFill="1" applyBorder="1" applyAlignment="1">
      <alignment horizontal="center" vertical="center"/>
    </xf>
    <xf numFmtId="194" fontId="118" fillId="94" borderId="183" xfId="320" applyNumberFormat="1" applyFont="1" applyFill="1" applyBorder="1" applyAlignment="1">
      <alignment horizontal="center" vertical="center"/>
    </xf>
    <xf numFmtId="0" fontId="118" fillId="93" borderId="2" xfId="4" applyFont="1" applyFill="1" applyBorder="1" applyAlignment="1">
      <alignment horizontal="center"/>
    </xf>
    <xf numFmtId="183" fontId="20" fillId="78" borderId="102" xfId="320" applyNumberFormat="1" applyFont="1" applyFill="1" applyBorder="1" applyAlignment="1">
      <alignment horizontal="center" vertical="center"/>
    </xf>
    <xf numFmtId="183" fontId="111" fillId="78" borderId="100" xfId="4" applyNumberFormat="1" applyFont="1" applyFill="1" applyBorder="1" applyAlignment="1">
      <alignment horizontal="center" vertical="center"/>
    </xf>
    <xf numFmtId="0" fontId="111" fillId="78" borderId="87" xfId="4" applyFont="1" applyFill="1" applyBorder="1" applyAlignment="1">
      <alignment horizontal="center" vertical="center"/>
    </xf>
    <xf numFmtId="0" fontId="111" fillId="78" borderId="245" xfId="4" applyFont="1" applyFill="1" applyBorder="1" applyAlignment="1">
      <alignment horizontal="center" vertical="center"/>
    </xf>
    <xf numFmtId="0" fontId="118" fillId="93" borderId="87" xfId="4" applyFont="1" applyFill="1" applyBorder="1" applyAlignment="1">
      <alignment horizontal="center" vertical="center"/>
    </xf>
    <xf numFmtId="183" fontId="111" fillId="78" borderId="102" xfId="4" applyNumberFormat="1" applyFont="1" applyFill="1" applyBorder="1" applyAlignment="1">
      <alignment horizontal="center" vertical="center"/>
    </xf>
    <xf numFmtId="0" fontId="111" fillId="78" borderId="2" xfId="4" applyFont="1" applyFill="1" applyBorder="1" applyAlignment="1">
      <alignment horizontal="center" vertical="center"/>
    </xf>
    <xf numFmtId="0" fontId="111" fillId="78" borderId="92" xfId="4" applyFont="1" applyFill="1" applyBorder="1" applyAlignment="1">
      <alignment horizontal="center" vertical="center"/>
    </xf>
    <xf numFmtId="0" fontId="118" fillId="93" borderId="2" xfId="4" applyFont="1" applyFill="1" applyBorder="1" applyAlignment="1">
      <alignment horizontal="center" vertical="center"/>
    </xf>
    <xf numFmtId="58" fontId="118" fillId="93" borderId="2" xfId="4" applyNumberFormat="1" applyFont="1" applyFill="1" applyBorder="1" applyAlignment="1">
      <alignment horizontal="center" vertical="center" wrapText="1"/>
    </xf>
    <xf numFmtId="0" fontId="20" fillId="77" borderId="0" xfId="4" applyFont="1" applyFill="1" applyAlignment="1"/>
    <xf numFmtId="0" fontId="20" fillId="77" borderId="1" xfId="4" applyFont="1" applyFill="1" applyBorder="1" applyAlignment="1"/>
    <xf numFmtId="0" fontId="20" fillId="13" borderId="2" xfId="4" applyFont="1" applyFill="1" applyBorder="1" applyAlignment="1"/>
    <xf numFmtId="0" fontId="20" fillId="13" borderId="106" xfId="4" applyFont="1" applyFill="1" applyBorder="1" applyAlignment="1"/>
    <xf numFmtId="0" fontId="111" fillId="78" borderId="246" xfId="4" applyFont="1" applyFill="1" applyBorder="1" applyAlignment="1">
      <alignment horizontal="center" vertical="center"/>
    </xf>
    <xf numFmtId="0" fontId="111" fillId="78" borderId="247" xfId="4" applyFont="1" applyFill="1" applyBorder="1" applyAlignment="1">
      <alignment horizontal="center" vertical="center"/>
    </xf>
    <xf numFmtId="0" fontId="20" fillId="13" borderId="17" xfId="4" applyFont="1" applyFill="1" applyBorder="1" applyAlignment="1">
      <alignment horizontal="left" vertical="center"/>
    </xf>
    <xf numFmtId="0" fontId="20" fillId="0" borderId="0" xfId="4" applyAlignment="1">
      <alignment horizontal="center" vertical="center"/>
    </xf>
    <xf numFmtId="0" fontId="123" fillId="0" borderId="2" xfId="4" applyFont="1" applyBorder="1" applyAlignment="1">
      <alignment horizontal="center" vertical="center"/>
    </xf>
    <xf numFmtId="0" fontId="142" fillId="0" borderId="2" xfId="4" applyFont="1" applyBorder="1" applyAlignment="1">
      <alignment horizontal="center" vertical="center"/>
    </xf>
    <xf numFmtId="49" fontId="20" fillId="0" borderId="2" xfId="4" applyNumberFormat="1" applyBorder="1" applyAlignment="1">
      <alignment horizontal="center" vertical="center"/>
    </xf>
    <xf numFmtId="197" fontId="20" fillId="0" borderId="2" xfId="4" applyNumberFormat="1" applyBorder="1" applyAlignment="1">
      <alignment horizontal="center" vertical="center"/>
    </xf>
    <xf numFmtId="197" fontId="20" fillId="0" borderId="2" xfId="4" applyNumberFormat="1" applyFont="1" applyBorder="1" applyAlignment="1">
      <alignment horizontal="center" vertical="center"/>
    </xf>
    <xf numFmtId="0" fontId="20" fillId="0" borderId="2" xfId="4" applyFont="1" applyBorder="1" applyAlignment="1">
      <alignment horizontal="center" vertical="center" wrapText="1"/>
    </xf>
    <xf numFmtId="0" fontId="144" fillId="0" borderId="2" xfId="4" applyFont="1" applyBorder="1" applyAlignment="1">
      <alignment horizontal="left" vertical="center" wrapText="1"/>
    </xf>
    <xf numFmtId="0" fontId="7" fillId="77" borderId="0" xfId="4" applyFont="1" applyFill="1" applyBorder="1" applyAlignment="1">
      <alignment vertical="center"/>
    </xf>
    <xf numFmtId="0" fontId="7" fillId="77" borderId="0" xfId="4" applyNumberFormat="1" applyFont="1" applyFill="1" applyBorder="1" applyAlignment="1">
      <alignment horizontal="center" vertical="center"/>
    </xf>
    <xf numFmtId="0" fontId="7" fillId="77" borderId="0" xfId="4" applyNumberFormat="1" applyFont="1" applyFill="1" applyBorder="1" applyAlignment="1">
      <alignment vertical="center"/>
    </xf>
    <xf numFmtId="0" fontId="20" fillId="77" borderId="0" xfId="4" applyNumberFormat="1" applyFill="1" applyBorder="1"/>
    <xf numFmtId="0" fontId="7" fillId="77" borderId="0" xfId="4" applyNumberFormat="1" applyFont="1" applyFill="1" applyBorder="1"/>
    <xf numFmtId="0" fontId="7" fillId="77" borderId="0" xfId="4" applyFont="1" applyFill="1" applyBorder="1"/>
    <xf numFmtId="0" fontId="20" fillId="77" borderId="0" xfId="323" applyFont="1" applyFill="1" applyAlignment="1">
      <alignment horizontal="left"/>
    </xf>
    <xf numFmtId="0" fontId="146" fillId="77" borderId="0" xfId="323" applyFont="1" applyFill="1" applyAlignment="1">
      <alignment horizontal="left"/>
    </xf>
    <xf numFmtId="0" fontId="20" fillId="77" borderId="248" xfId="323" applyFont="1" applyFill="1" applyBorder="1" applyAlignment="1">
      <alignment horizontal="left"/>
    </xf>
    <xf numFmtId="0" fontId="20" fillId="77" borderId="249" xfId="323" applyFont="1" applyFill="1" applyBorder="1" applyAlignment="1">
      <alignment horizontal="left"/>
    </xf>
    <xf numFmtId="0" fontId="146" fillId="77" borderId="249" xfId="323" applyFont="1" applyFill="1" applyBorder="1" applyAlignment="1">
      <alignment horizontal="left"/>
    </xf>
    <xf numFmtId="0" fontId="20" fillId="77" borderId="250" xfId="323" applyFont="1" applyFill="1" applyBorder="1" applyAlignment="1">
      <alignment horizontal="left"/>
    </xf>
    <xf numFmtId="0" fontId="7" fillId="77" borderId="251" xfId="323" applyFont="1" applyFill="1" applyBorder="1" applyAlignment="1">
      <alignment horizontal="left"/>
    </xf>
    <xf numFmtId="0" fontId="7" fillId="77" borderId="252" xfId="323" applyFont="1" applyFill="1" applyBorder="1" applyAlignment="1">
      <alignment horizontal="left"/>
    </xf>
    <xf numFmtId="0" fontId="20" fillId="77" borderId="0" xfId="323" applyFont="1" applyFill="1" applyBorder="1" applyAlignment="1">
      <alignment horizontal="left"/>
    </xf>
    <xf numFmtId="0" fontId="7" fillId="77" borderId="0" xfId="323" applyFont="1" applyFill="1" applyBorder="1" applyAlignment="1">
      <alignment horizontal="left"/>
    </xf>
    <xf numFmtId="0" fontId="147" fillId="77" borderId="0" xfId="323" applyFont="1" applyFill="1" applyBorder="1" applyAlignment="1">
      <alignment horizontal="left"/>
    </xf>
    <xf numFmtId="0" fontId="101" fillId="77" borderId="0" xfId="319" applyFont="1" applyFill="1" applyBorder="1" applyAlignment="1" applyProtection="1">
      <alignment horizontal="left"/>
    </xf>
    <xf numFmtId="0" fontId="148" fillId="77" borderId="0" xfId="323" applyFont="1" applyFill="1" applyBorder="1" applyAlignment="1">
      <alignment horizontal="left"/>
    </xf>
    <xf numFmtId="0" fontId="101" fillId="77" borderId="0" xfId="319" applyFill="1" applyAlignment="1" applyProtection="1">
      <alignment horizontal="left"/>
    </xf>
    <xf numFmtId="0" fontId="101" fillId="77" borderId="0" xfId="319" applyFill="1" applyBorder="1" applyAlignment="1" applyProtection="1">
      <alignment horizontal="left"/>
    </xf>
    <xf numFmtId="0" fontId="101" fillId="0" borderId="0" xfId="319" applyFont="1" applyAlignment="1" applyProtection="1"/>
    <xf numFmtId="0" fontId="146" fillId="77" borderId="0" xfId="323" applyFont="1" applyFill="1" applyBorder="1" applyAlignment="1">
      <alignment horizontal="left"/>
    </xf>
    <xf numFmtId="0" fontId="20" fillId="77" borderId="252" xfId="323" applyFont="1" applyFill="1" applyBorder="1" applyAlignment="1">
      <alignment horizontal="left"/>
    </xf>
    <xf numFmtId="0" fontId="20" fillId="77" borderId="251" xfId="323" applyFont="1" applyFill="1" applyBorder="1" applyAlignment="1">
      <alignment horizontal="left"/>
    </xf>
    <xf numFmtId="0" fontId="20" fillId="0" borderId="2" xfId="4" applyFont="1" applyBorder="1" applyAlignment="1">
      <alignment horizontal="left"/>
    </xf>
    <xf numFmtId="0" fontId="20" fillId="0" borderId="2" xfId="4" applyBorder="1" applyAlignment="1">
      <alignment horizontal="left"/>
    </xf>
    <xf numFmtId="0" fontId="149" fillId="0" borderId="0" xfId="4" applyFont="1" applyFill="1" applyBorder="1" applyAlignment="1">
      <alignment horizontal="left"/>
    </xf>
    <xf numFmtId="0" fontId="20" fillId="0" borderId="2" xfId="0" applyFont="1" applyBorder="1" applyAlignment="1">
      <alignment horizontal="left"/>
    </xf>
    <xf numFmtId="14" fontId="20" fillId="0" borderId="2" xfId="0" applyNumberFormat="1" applyFont="1" applyBorder="1" applyAlignment="1">
      <alignment horizontal="left"/>
    </xf>
    <xf numFmtId="10" fontId="103" fillId="9" borderId="78" xfId="228" applyNumberFormat="1" applyFont="1" applyFill="1" applyBorder="1" applyAlignment="1">
      <alignment horizontal="center" vertical="center" wrapText="1"/>
    </xf>
    <xf numFmtId="196" fontId="103" fillId="11" borderId="78" xfId="228" applyNumberFormat="1" applyFont="1" applyFill="1" applyBorder="1" applyAlignment="1">
      <alignment horizontal="center" vertical="center" wrapText="1"/>
    </xf>
    <xf numFmtId="0" fontId="20" fillId="77" borderId="0" xfId="4" applyFont="1" applyFill="1" applyAlignment="1">
      <alignment horizontal="left"/>
    </xf>
    <xf numFmtId="0" fontId="20" fillId="77" borderId="119" xfId="4" applyFont="1" applyFill="1" applyBorder="1" applyAlignment="1">
      <alignment horizontal="center"/>
    </xf>
    <xf numFmtId="0" fontId="20" fillId="77" borderId="118" xfId="4" applyFont="1" applyFill="1" applyBorder="1" applyAlignment="1">
      <alignment horizontal="center"/>
    </xf>
    <xf numFmtId="0" fontId="20" fillId="13" borderId="106" xfId="4" applyFont="1" applyFill="1" applyBorder="1" applyAlignment="1">
      <alignment horizontal="left"/>
    </xf>
    <xf numFmtId="0" fontId="150" fillId="95" borderId="55" xfId="0" applyFont="1" applyFill="1" applyBorder="1" applyAlignment="1">
      <alignment horizontal="center" vertical="center" wrapText="1"/>
    </xf>
    <xf numFmtId="179" fontId="111" fillId="96" borderId="55" xfId="0" applyNumberFormat="1" applyFont="1" applyFill="1" applyBorder="1" applyAlignment="1">
      <alignment horizontal="center" vertical="center" wrapText="1"/>
    </xf>
    <xf numFmtId="179" fontId="111" fillId="72" borderId="55" xfId="0" applyNumberFormat="1" applyFont="1" applyFill="1" applyBorder="1" applyAlignment="1">
      <alignment horizontal="center" vertical="center" wrapText="1"/>
    </xf>
    <xf numFmtId="0" fontId="138" fillId="93" borderId="55" xfId="4" applyFont="1" applyFill="1" applyBorder="1" applyAlignment="1">
      <alignment vertical="center"/>
    </xf>
    <xf numFmtId="0" fontId="118" fillId="93" borderId="55" xfId="4" applyFont="1" applyFill="1" applyBorder="1" applyAlignment="1">
      <alignment horizontal="center" vertical="center"/>
    </xf>
    <xf numFmtId="0" fontId="113" fillId="78" borderId="55" xfId="4" applyFont="1" applyFill="1" applyBorder="1" applyAlignment="1">
      <alignment horizontal="center"/>
    </xf>
    <xf numFmtId="0" fontId="113" fillId="78" borderId="70" xfId="4" applyFont="1" applyFill="1" applyBorder="1" applyAlignment="1">
      <alignment horizontal="center"/>
    </xf>
    <xf numFmtId="0" fontId="118" fillId="93" borderId="254" xfId="4" applyFont="1" applyFill="1" applyBorder="1" applyAlignment="1">
      <alignment horizontal="center" vertical="center"/>
    </xf>
    <xf numFmtId="0" fontId="20" fillId="77" borderId="255" xfId="4" applyFont="1" applyFill="1" applyBorder="1" applyAlignment="1">
      <alignment horizontal="center"/>
    </xf>
    <xf numFmtId="0" fontId="20" fillId="77" borderId="256" xfId="4" applyFont="1" applyFill="1" applyBorder="1" applyAlignment="1">
      <alignment horizontal="center"/>
    </xf>
    <xf numFmtId="0" fontId="118" fillId="3" borderId="257" xfId="4" applyFont="1" applyFill="1" applyBorder="1" applyAlignment="1">
      <alignment horizontal="center" vertical="center"/>
    </xf>
    <xf numFmtId="0" fontId="20" fillId="77" borderId="258" xfId="4" applyFont="1" applyFill="1" applyBorder="1" applyAlignment="1">
      <alignment horizontal="center"/>
    </xf>
    <xf numFmtId="0" fontId="20" fillId="77" borderId="259" xfId="4" applyFont="1" applyFill="1" applyBorder="1"/>
    <xf numFmtId="0" fontId="20" fillId="77" borderId="259" xfId="4" applyFill="1" applyBorder="1"/>
    <xf numFmtId="0" fontId="118" fillId="93" borderId="55" xfId="4" applyFont="1" applyFill="1" applyBorder="1" applyAlignment="1">
      <alignment horizontal="center"/>
    </xf>
    <xf numFmtId="0" fontId="20" fillId="77" borderId="0" xfId="4" applyFont="1" applyFill="1" applyAlignment="1">
      <alignment horizontal="left"/>
    </xf>
    <xf numFmtId="0" fontId="116" fillId="77" borderId="0" xfId="4" applyFont="1" applyFill="1" applyAlignment="1">
      <alignment horizontal="center"/>
    </xf>
    <xf numFmtId="0" fontId="5" fillId="0" borderId="2" xfId="4" applyFont="1" applyBorder="1" applyAlignment="1">
      <alignment horizontal="center" vertical="center"/>
    </xf>
    <xf numFmtId="0" fontId="20" fillId="13" borderId="106" xfId="4" applyFont="1" applyFill="1" applyBorder="1" applyAlignment="1">
      <alignment horizontal="left"/>
    </xf>
    <xf numFmtId="10" fontId="20" fillId="97" borderId="55" xfId="321" applyNumberFormat="1" applyFont="1" applyFill="1" applyBorder="1" applyAlignment="1">
      <alignment horizontal="center" vertical="center" wrapText="1"/>
    </xf>
    <xf numFmtId="58" fontId="118" fillId="93" borderId="55" xfId="4" applyNumberFormat="1" applyFont="1" applyFill="1" applyBorder="1" applyAlignment="1">
      <alignment horizontal="center" vertical="center"/>
    </xf>
    <xf numFmtId="58" fontId="118" fillId="93" borderId="55" xfId="4" applyNumberFormat="1" applyFont="1" applyFill="1" applyBorder="1" applyAlignment="1">
      <alignment horizontal="center" vertical="center"/>
    </xf>
    <xf numFmtId="0" fontId="20" fillId="77" borderId="55" xfId="4" applyNumberFormat="1" applyFont="1" applyFill="1" applyBorder="1" applyAlignment="1">
      <alignment horizontal="center" vertical="center"/>
    </xf>
    <xf numFmtId="0" fontId="20" fillId="98" borderId="55" xfId="4" applyNumberFormat="1" applyFont="1" applyFill="1" applyBorder="1" applyAlignment="1">
      <alignment horizontal="center" vertical="center"/>
    </xf>
    <xf numFmtId="0" fontId="20" fillId="77" borderId="55" xfId="4" applyNumberFormat="1" applyFont="1" applyFill="1" applyBorder="1" applyAlignment="1">
      <alignment horizontal="center"/>
    </xf>
    <xf numFmtId="179" fontId="20" fillId="95" borderId="55" xfId="0" applyNumberFormat="1" applyFont="1" applyFill="1" applyBorder="1" applyAlignment="1">
      <alignment horizontal="center" vertical="center" wrapText="1"/>
    </xf>
    <xf numFmtId="179" fontId="20" fillId="72" borderId="55" xfId="0" applyNumberFormat="1" applyFont="1" applyFill="1" applyBorder="1" applyAlignment="1">
      <alignment horizontal="center" vertical="center" wrapText="1"/>
    </xf>
    <xf numFmtId="179" fontId="20" fillId="98" borderId="55" xfId="4" applyNumberFormat="1" applyFont="1" applyFill="1" applyBorder="1" applyAlignment="1">
      <alignment horizontal="center" vertical="center"/>
    </xf>
    <xf numFmtId="0" fontId="20" fillId="77" borderId="0" xfId="4" applyNumberFormat="1" applyFont="1" applyFill="1" applyAlignment="1">
      <alignment horizontal="center" vertical="center"/>
    </xf>
    <xf numFmtId="0" fontId="20" fillId="77" borderId="55" xfId="4" applyNumberFormat="1" applyFont="1" applyFill="1" applyBorder="1"/>
    <xf numFmtId="0" fontId="20" fillId="98" borderId="55" xfId="4" applyNumberFormat="1" applyFont="1" applyFill="1" applyBorder="1"/>
    <xf numFmtId="0" fontId="153" fillId="77" borderId="0" xfId="4" applyNumberFormat="1" applyFont="1" applyFill="1" applyAlignment="1">
      <alignment horizontal="center" vertical="top"/>
    </xf>
    <xf numFmtId="0" fontId="20" fillId="77" borderId="0" xfId="4" applyNumberFormat="1" applyFont="1" applyFill="1" applyAlignment="1">
      <alignment vertical="center"/>
    </xf>
    <xf numFmtId="198" fontId="20" fillId="98" borderId="55" xfId="4" applyNumberFormat="1" applyFont="1" applyFill="1" applyBorder="1" applyAlignment="1">
      <alignment horizontal="center" vertical="center"/>
    </xf>
    <xf numFmtId="179" fontId="20" fillId="98" borderId="55" xfId="4" applyNumberFormat="1" applyFont="1" applyFill="1" applyBorder="1" applyAlignment="1">
      <alignment horizontal="center"/>
    </xf>
    <xf numFmtId="0" fontId="20" fillId="98" borderId="55" xfId="4" applyNumberFormat="1" applyFont="1" applyFill="1" applyBorder="1" applyAlignment="1">
      <alignment horizontal="center"/>
    </xf>
    <xf numFmtId="198" fontId="20" fillId="77" borderId="55" xfId="4" applyNumberFormat="1" applyFont="1" applyFill="1" applyBorder="1" applyAlignment="1">
      <alignment horizontal="center"/>
    </xf>
    <xf numFmtId="0" fontId="20" fillId="78" borderId="55" xfId="4" applyNumberFormat="1" applyFont="1" applyFill="1" applyBorder="1" applyAlignment="1">
      <alignment horizontal="center"/>
    </xf>
    <xf numFmtId="0" fontId="20" fillId="78" borderId="55" xfId="4" applyFont="1" applyFill="1" applyBorder="1" applyAlignment="1">
      <alignment horizontal="center"/>
    </xf>
    <xf numFmtId="198" fontId="20" fillId="78" borderId="55" xfId="4" applyNumberFormat="1" applyFont="1" applyFill="1" applyBorder="1" applyAlignment="1">
      <alignment horizontal="center"/>
    </xf>
    <xf numFmtId="0" fontId="20" fillId="78" borderId="55" xfId="4" applyNumberFormat="1" applyFont="1" applyFill="1" applyBorder="1" applyAlignment="1">
      <alignment horizontal="center" vertical="center"/>
    </xf>
    <xf numFmtId="0" fontId="20" fillId="78" borderId="55" xfId="4" applyFont="1" applyFill="1" applyBorder="1" applyAlignment="1">
      <alignment horizontal="center" vertical="center"/>
    </xf>
    <xf numFmtId="198" fontId="20" fillId="78" borderId="55" xfId="4" applyNumberFormat="1" applyFont="1" applyFill="1" applyBorder="1" applyAlignment="1">
      <alignment horizontal="center" vertical="center"/>
    </xf>
    <xf numFmtId="0" fontId="154" fillId="77" borderId="0" xfId="4" applyNumberFormat="1" applyFont="1" applyFill="1"/>
    <xf numFmtId="198" fontId="20" fillId="99" borderId="55" xfId="4" applyNumberFormat="1" applyFont="1" applyFill="1" applyBorder="1" applyAlignment="1">
      <alignment horizontal="center" vertical="center"/>
    </xf>
    <xf numFmtId="0" fontId="20" fillId="99" borderId="55" xfId="4" applyNumberFormat="1" applyFont="1" applyFill="1" applyBorder="1" applyAlignment="1">
      <alignment horizontal="center" vertical="center"/>
    </xf>
    <xf numFmtId="0" fontId="118" fillId="93" borderId="55" xfId="4" applyFont="1" applyFill="1" applyBorder="1" applyAlignment="1">
      <alignment horizontal="center" vertical="center"/>
    </xf>
    <xf numFmtId="0" fontId="20" fillId="13" borderId="2" xfId="4" applyFont="1" applyFill="1" applyBorder="1" applyAlignment="1">
      <alignment horizontal="left"/>
    </xf>
    <xf numFmtId="0" fontId="153" fillId="77" borderId="72" xfId="4" applyNumberFormat="1" applyFont="1" applyFill="1" applyBorder="1" applyAlignment="1">
      <alignment vertical="top"/>
    </xf>
    <xf numFmtId="192" fontId="114" fillId="78" borderId="55" xfId="1" applyNumberFormat="1" applyFont="1" applyFill="1" applyBorder="1" applyAlignment="1">
      <alignment horizontal="center" vertical="center" wrapText="1"/>
    </xf>
    <xf numFmtId="192" fontId="114" fillId="99" borderId="55" xfId="1" applyNumberFormat="1" applyFont="1" applyFill="1" applyBorder="1" applyAlignment="1">
      <alignment horizontal="center" vertical="center" wrapText="1"/>
    </xf>
    <xf numFmtId="189" fontId="114" fillId="78" borderId="55" xfId="1" applyNumberFormat="1" applyFont="1" applyFill="1" applyBorder="1" applyAlignment="1">
      <alignment horizontal="center" vertical="center" wrapText="1"/>
    </xf>
    <xf numFmtId="179" fontId="20" fillId="0" borderId="0" xfId="4" applyNumberFormat="1"/>
    <xf numFmtId="179" fontId="20" fillId="97" borderId="55" xfId="4" applyNumberFormat="1" applyFill="1" applyBorder="1" applyAlignment="1">
      <alignment horizontal="center" vertical="center"/>
    </xf>
    <xf numFmtId="58" fontId="118" fillId="93" borderId="260" xfId="4" applyNumberFormat="1" applyFont="1" applyFill="1" applyBorder="1" applyAlignment="1">
      <alignment horizontal="center" vertical="center"/>
    </xf>
    <xf numFmtId="58" fontId="118" fillId="93" borderId="0" xfId="4" applyNumberFormat="1" applyFont="1" applyFill="1" applyBorder="1" applyAlignment="1">
      <alignment horizontal="center" vertical="center"/>
    </xf>
    <xf numFmtId="192" fontId="20" fillId="77" borderId="55" xfId="4" applyNumberFormat="1" applyFont="1" applyFill="1" applyBorder="1" applyAlignment="1">
      <alignment horizontal="center" vertical="center"/>
    </xf>
    <xf numFmtId="193" fontId="20" fillId="77" borderId="55" xfId="4" applyNumberFormat="1" applyFont="1" applyFill="1" applyBorder="1" applyAlignment="1">
      <alignment horizontal="center" vertical="center"/>
    </xf>
    <xf numFmtId="0" fontId="20" fillId="0" borderId="55" xfId="4" applyBorder="1" applyAlignment="1">
      <alignment horizontal="center" vertical="center"/>
    </xf>
    <xf numFmtId="199" fontId="111" fillId="78" borderId="55" xfId="4" applyNumberFormat="1" applyFont="1" applyFill="1" applyBorder="1" applyAlignment="1">
      <alignment horizontal="center" vertical="center"/>
    </xf>
    <xf numFmtId="193" fontId="20" fillId="98" borderId="55" xfId="4" applyNumberFormat="1" applyFont="1" applyFill="1" applyBorder="1" applyAlignment="1">
      <alignment horizontal="center" vertical="center"/>
    </xf>
    <xf numFmtId="192" fontId="20" fillId="98" borderId="55" xfId="4" applyNumberFormat="1" applyFont="1" applyFill="1" applyBorder="1" applyAlignment="1">
      <alignment horizontal="center" vertical="center"/>
    </xf>
    <xf numFmtId="0" fontId="20" fillId="97" borderId="55" xfId="4" applyFill="1" applyBorder="1" applyAlignment="1">
      <alignment horizontal="center" vertical="center"/>
    </xf>
    <xf numFmtId="199" fontId="111" fillId="99" borderId="55" xfId="4" applyNumberFormat="1" applyFont="1" applyFill="1" applyBorder="1" applyAlignment="1">
      <alignment horizontal="center" vertical="center"/>
    </xf>
    <xf numFmtId="193" fontId="20" fillId="77" borderId="0" xfId="4" applyNumberFormat="1" applyFont="1" applyFill="1" applyBorder="1" applyAlignment="1">
      <alignment horizontal="center" vertical="center"/>
    </xf>
    <xf numFmtId="199" fontId="111" fillId="78" borderId="0" xfId="4" applyNumberFormat="1" applyFont="1" applyFill="1" applyBorder="1" applyAlignment="1">
      <alignment horizontal="center" vertical="center"/>
    </xf>
    <xf numFmtId="0" fontId="20" fillId="0" borderId="261" xfId="4" applyBorder="1" applyAlignment="1">
      <alignment horizontal="center" vertical="center"/>
    </xf>
    <xf numFmtId="0" fontId="74" fillId="77" borderId="0" xfId="4" applyFont="1" applyFill="1" applyBorder="1" applyAlignment="1">
      <alignment horizontal="center"/>
    </xf>
    <xf numFmtId="58" fontId="20" fillId="14" borderId="271" xfId="4" applyNumberFormat="1" applyFont="1" applyFill="1" applyBorder="1" applyAlignment="1">
      <alignment horizontal="center" vertical="center" wrapText="1"/>
    </xf>
    <xf numFmtId="58" fontId="20" fillId="14" borderId="272" xfId="4" applyNumberFormat="1" applyFont="1" applyFill="1" applyBorder="1" applyAlignment="1">
      <alignment horizontal="center" vertical="center" wrapText="1"/>
    </xf>
    <xf numFmtId="0" fontId="5" fillId="0" borderId="274" xfId="4" applyFont="1" applyBorder="1" applyAlignment="1">
      <alignment horizontal="center" vertical="center"/>
    </xf>
    <xf numFmtId="0" fontId="5" fillId="0" borderId="276" xfId="4" applyFont="1" applyBorder="1" applyAlignment="1">
      <alignment horizontal="center" vertical="center"/>
    </xf>
    <xf numFmtId="0" fontId="5" fillId="0" borderId="277" xfId="4" applyFont="1" applyBorder="1" applyAlignment="1">
      <alignment horizontal="center" vertical="center"/>
    </xf>
    <xf numFmtId="0" fontId="5" fillId="0" borderId="278" xfId="4" applyFont="1" applyBorder="1" applyAlignment="1">
      <alignment horizontal="center" vertical="center"/>
    </xf>
    <xf numFmtId="192" fontId="140" fillId="93" borderId="272" xfId="1" applyNumberFormat="1" applyFont="1" applyFill="1" applyBorder="1" applyAlignment="1">
      <alignment horizontal="center" vertical="center" wrapText="1"/>
    </xf>
    <xf numFmtId="0" fontId="20" fillId="0" borderId="272" xfId="4" applyFill="1" applyBorder="1" applyAlignment="1">
      <alignment horizontal="center" vertical="center"/>
    </xf>
    <xf numFmtId="192" fontId="140" fillId="93" borderId="281" xfId="1" applyNumberFormat="1" applyFont="1" applyFill="1" applyBorder="1" applyAlignment="1">
      <alignment horizontal="center" vertical="center" wrapText="1"/>
    </xf>
    <xf numFmtId="0" fontId="20" fillId="0" borderId="281" xfId="4" applyBorder="1" applyAlignment="1">
      <alignment horizontal="center" vertical="center"/>
    </xf>
    <xf numFmtId="0" fontId="20" fillId="0" borderId="261" xfId="4" applyBorder="1" applyAlignment="1">
      <alignment horizontal="center"/>
    </xf>
    <xf numFmtId="0" fontId="131" fillId="0" borderId="281" xfId="4" applyFont="1" applyBorder="1" applyAlignment="1">
      <alignment horizontal="center" vertical="center" wrapText="1"/>
    </xf>
    <xf numFmtId="0" fontId="5" fillId="0" borderId="281" xfId="4" applyFont="1" applyBorder="1" applyAlignment="1">
      <alignment horizontal="center" vertical="center"/>
    </xf>
    <xf numFmtId="0" fontId="5" fillId="0" borderId="287" xfId="4" applyFont="1" applyBorder="1" applyAlignment="1">
      <alignment horizontal="center" vertical="center"/>
    </xf>
    <xf numFmtId="0" fontId="5" fillId="0" borderId="288" xfId="4" applyFont="1" applyBorder="1" applyAlignment="1">
      <alignment horizontal="center" vertical="center"/>
    </xf>
    <xf numFmtId="0" fontId="5" fillId="0" borderId="289" xfId="4" applyFont="1" applyFill="1" applyBorder="1" applyAlignment="1">
      <alignment horizontal="center" vertical="center"/>
    </xf>
    <xf numFmtId="0" fontId="5" fillId="0" borderId="289" xfId="4" applyFont="1" applyBorder="1" applyAlignment="1">
      <alignment horizontal="center" vertical="center"/>
    </xf>
    <xf numFmtId="58" fontId="118" fillId="93" borderId="291" xfId="4" applyNumberFormat="1" applyFont="1" applyFill="1" applyBorder="1" applyAlignment="1">
      <alignment horizontal="center" vertical="center"/>
    </xf>
    <xf numFmtId="0" fontId="20" fillId="77" borderId="292" xfId="4" applyFont="1" applyFill="1" applyBorder="1" applyAlignment="1">
      <alignment horizontal="center" vertical="center"/>
    </xf>
    <xf numFmtId="58" fontId="118" fillId="93" borderId="292" xfId="4" applyNumberFormat="1" applyFont="1" applyFill="1" applyBorder="1" applyAlignment="1">
      <alignment horizontal="center" vertical="center"/>
    </xf>
    <xf numFmtId="0" fontId="74" fillId="77" borderId="293" xfId="4" applyFont="1" applyFill="1" applyBorder="1" applyAlignment="1">
      <alignment horizontal="center" vertical="center"/>
    </xf>
    <xf numFmtId="0" fontId="74" fillId="77" borderId="271" xfId="4" applyFont="1" applyFill="1" applyBorder="1" applyAlignment="1">
      <alignment horizontal="center"/>
    </xf>
    <xf numFmtId="58" fontId="118" fillId="93" borderId="272" xfId="4" applyNumberFormat="1" applyFont="1" applyFill="1" applyBorder="1" applyAlignment="1">
      <alignment horizontal="center" vertical="center"/>
    </xf>
    <xf numFmtId="58" fontId="118" fillId="93" borderId="273" xfId="4" applyNumberFormat="1" applyFont="1" applyFill="1" applyBorder="1" applyAlignment="1">
      <alignment horizontal="center" vertical="center"/>
    </xf>
    <xf numFmtId="58" fontId="118" fillId="93" borderId="276" xfId="4" applyNumberFormat="1" applyFont="1" applyFill="1" applyBorder="1" applyAlignment="1">
      <alignment horizontal="center" vertical="center"/>
    </xf>
    <xf numFmtId="192" fontId="114" fillId="78" borderId="281" xfId="1" applyNumberFormat="1" applyFont="1" applyFill="1" applyBorder="1" applyAlignment="1">
      <alignment horizontal="center" vertical="center" wrapText="1"/>
    </xf>
    <xf numFmtId="192" fontId="114" fillId="78" borderId="282" xfId="1" applyNumberFormat="1" applyFont="1" applyFill="1" applyBorder="1" applyAlignment="1">
      <alignment horizontal="center" vertical="center" wrapText="1"/>
    </xf>
    <xf numFmtId="0" fontId="95" fillId="72" borderId="70" xfId="4" applyFont="1" applyFill="1" applyBorder="1" applyAlignment="1">
      <alignment horizontal="left" vertical="top"/>
    </xf>
    <xf numFmtId="10" fontId="150" fillId="95" borderId="55" xfId="0" applyNumberFormat="1" applyFont="1" applyFill="1" applyBorder="1" applyAlignment="1">
      <alignment horizontal="center" vertical="center" wrapText="1"/>
    </xf>
    <xf numFmtId="10" fontId="111" fillId="72" borderId="55" xfId="0" applyNumberFormat="1" applyFont="1" applyFill="1" applyBorder="1" applyAlignment="1">
      <alignment horizontal="center" vertical="center" wrapText="1"/>
    </xf>
    <xf numFmtId="10" fontId="20" fillId="0" borderId="55" xfId="4" applyNumberFormat="1" applyFont="1" applyFill="1" applyBorder="1" applyAlignment="1">
      <alignment horizontal="center" vertical="center"/>
    </xf>
    <xf numFmtId="0" fontId="14" fillId="0" borderId="55" xfId="0" applyFont="1" applyBorder="1" applyAlignment="1">
      <alignment vertical="center"/>
    </xf>
    <xf numFmtId="0" fontId="14" fillId="0" borderId="60" xfId="0" applyFont="1" applyBorder="1" applyAlignment="1">
      <alignment vertical="center"/>
    </xf>
    <xf numFmtId="0" fontId="93" fillId="0" borderId="56" xfId="0" applyFont="1" applyBorder="1" applyAlignment="1">
      <alignment vertical="center"/>
    </xf>
    <xf numFmtId="0" fontId="19" fillId="3" borderId="2" xfId="0" applyFont="1" applyFill="1" applyBorder="1"/>
    <xf numFmtId="0" fontId="14" fillId="74" borderId="2" xfId="0" applyFont="1" applyFill="1" applyBorder="1" applyAlignment="1">
      <alignment horizontal="center"/>
    </xf>
    <xf numFmtId="0" fontId="93" fillId="0" borderId="70" xfId="0" applyFont="1" applyBorder="1" applyAlignment="1">
      <alignment vertical="center"/>
    </xf>
    <xf numFmtId="0" fontId="93" fillId="0" borderId="55" xfId="0" applyFont="1" applyBorder="1" applyAlignment="1">
      <alignment vertical="center"/>
    </xf>
    <xf numFmtId="0" fontId="19" fillId="3" borderId="2" xfId="0" applyFont="1" applyFill="1" applyBorder="1" applyAlignment="1">
      <alignment vertical="center"/>
    </xf>
    <xf numFmtId="0" fontId="14" fillId="74" borderId="2" xfId="0" applyFont="1" applyFill="1" applyBorder="1" applyAlignment="1">
      <alignment horizontal="center" vertical="center" wrapText="1"/>
    </xf>
    <xf numFmtId="0" fontId="14" fillId="74" borderId="2" xfId="0" applyFont="1" applyFill="1" applyBorder="1" applyAlignment="1">
      <alignment horizontal="center" vertical="center"/>
    </xf>
    <xf numFmtId="0" fontId="14" fillId="74" borderId="2" xfId="0" applyFont="1" applyFill="1" applyBorder="1" applyAlignment="1">
      <alignment horizontal="left" vertical="center"/>
    </xf>
    <xf numFmtId="0" fontId="93" fillId="0" borderId="70" xfId="0" applyFont="1" applyFill="1" applyBorder="1" applyAlignment="1">
      <alignment vertical="center"/>
    </xf>
    <xf numFmtId="0" fontId="93" fillId="0" borderId="75" xfId="0" applyFont="1" applyBorder="1" applyAlignment="1">
      <alignment vertical="center"/>
    </xf>
    <xf numFmtId="0" fontId="93" fillId="0" borderId="75" xfId="0" applyFont="1" applyBorder="1" applyAlignment="1">
      <alignment horizontal="center" vertical="center"/>
    </xf>
    <xf numFmtId="0" fontId="93" fillId="0" borderId="55" xfId="0" applyFont="1" applyBorder="1" applyAlignment="1">
      <alignment horizontal="center" vertical="center"/>
    </xf>
    <xf numFmtId="0" fontId="7" fillId="0" borderId="92" xfId="0" applyFont="1" applyBorder="1" applyAlignment="1">
      <alignment vertical="center"/>
    </xf>
    <xf numFmtId="0" fontId="20" fillId="77" borderId="2" xfId="0" applyFont="1" applyFill="1" applyBorder="1" applyAlignment="1">
      <alignment horizontal="center"/>
    </xf>
    <xf numFmtId="0" fontId="0" fillId="0" borderId="2" xfId="0" applyBorder="1" applyAlignment="1">
      <alignment vertical="center"/>
    </xf>
    <xf numFmtId="0" fontId="113" fillId="78" borderId="2" xfId="0" applyFont="1" applyFill="1" applyBorder="1" applyAlignment="1">
      <alignment horizontal="center"/>
    </xf>
    <xf numFmtId="0" fontId="155" fillId="100" borderId="2" xfId="0" applyFont="1" applyFill="1" applyBorder="1" applyAlignment="1">
      <alignment horizontal="center" vertical="center"/>
    </xf>
    <xf numFmtId="0" fontId="118" fillId="14" borderId="2" xfId="0" applyFont="1" applyFill="1" applyBorder="1" applyAlignment="1">
      <alignment horizontal="center" vertical="center"/>
    </xf>
    <xf numFmtId="0" fontId="118" fillId="94" borderId="2" xfId="0" applyFont="1" applyFill="1" applyBorder="1" applyAlignment="1">
      <alignment horizontal="center"/>
    </xf>
    <xf numFmtId="0" fontId="14" fillId="74" borderId="55" xfId="1" applyFont="1" applyFill="1" applyBorder="1" applyAlignment="1">
      <alignment horizontal="center" vertical="center"/>
    </xf>
    <xf numFmtId="189" fontId="20" fillId="77" borderId="0" xfId="323" applyNumberFormat="1" applyFont="1" applyFill="1" applyAlignment="1">
      <alignment horizontal="left"/>
    </xf>
    <xf numFmtId="0" fontId="20" fillId="77" borderId="296" xfId="323" applyFont="1" applyFill="1" applyBorder="1" applyAlignment="1">
      <alignment horizontal="left"/>
    </xf>
    <xf numFmtId="0" fontId="146" fillId="77" borderId="296" xfId="323" applyFont="1" applyFill="1" applyBorder="1" applyAlignment="1">
      <alignment horizontal="left"/>
    </xf>
    <xf numFmtId="0" fontId="20" fillId="77" borderId="297" xfId="323" applyFont="1" applyFill="1" applyBorder="1" applyAlignment="1">
      <alignment horizontal="left"/>
    </xf>
    <xf numFmtId="0" fontId="20" fillId="77" borderId="0" xfId="323" applyFont="1" applyFill="1" applyBorder="1" applyAlignment="1" applyProtection="1">
      <alignment horizontal="left"/>
    </xf>
    <xf numFmtId="0" fontId="20" fillId="77" borderId="299" xfId="323" applyFont="1" applyFill="1" applyBorder="1" applyAlignment="1">
      <alignment horizontal="left"/>
    </xf>
    <xf numFmtId="0" fontId="20" fillId="77" borderId="301" xfId="323" applyFont="1" applyFill="1" applyBorder="1" applyAlignment="1">
      <alignment horizontal="left"/>
    </xf>
    <xf numFmtId="0" fontId="146" fillId="77" borderId="301" xfId="323" applyFont="1" applyFill="1" applyBorder="1" applyAlignment="1">
      <alignment horizontal="left"/>
    </xf>
    <xf numFmtId="0" fontId="20" fillId="77" borderId="302" xfId="323" applyFont="1" applyFill="1" applyBorder="1" applyAlignment="1">
      <alignment horizontal="left"/>
    </xf>
    <xf numFmtId="58" fontId="118" fillId="93" borderId="55" xfId="4" applyNumberFormat="1" applyFont="1" applyFill="1" applyBorder="1" applyAlignment="1">
      <alignment horizontal="center" vertical="center"/>
    </xf>
    <xf numFmtId="58" fontId="118" fillId="93" borderId="55" xfId="4" applyNumberFormat="1" applyFont="1" applyFill="1" applyBorder="1" applyAlignment="1">
      <alignment horizontal="center" vertical="center"/>
    </xf>
    <xf numFmtId="0" fontId="20" fillId="77" borderId="0" xfId="4" applyFont="1" applyFill="1" applyAlignment="1">
      <alignment horizontal="left"/>
    </xf>
    <xf numFmtId="0" fontId="116" fillId="77" borderId="0" xfId="4" applyFont="1" applyFill="1" applyAlignment="1">
      <alignment horizontal="center"/>
    </xf>
    <xf numFmtId="58" fontId="118" fillId="93" borderId="55" xfId="4" applyNumberFormat="1" applyFont="1" applyFill="1" applyBorder="1" applyAlignment="1">
      <alignment horizontal="center" vertical="center"/>
    </xf>
    <xf numFmtId="0" fontId="20" fillId="77" borderId="0" xfId="4" quotePrefix="1" applyNumberFormat="1" applyFont="1" applyFill="1"/>
    <xf numFmtId="0" fontId="118" fillId="3" borderId="303" xfId="4" applyFont="1" applyFill="1" applyBorder="1" applyAlignment="1">
      <alignment horizontal="center" vertical="center"/>
    </xf>
    <xf numFmtId="0" fontId="118" fillId="3" borderId="305" xfId="4" applyFont="1" applyFill="1" applyBorder="1" applyAlignment="1">
      <alignment horizontal="center" vertical="center"/>
    </xf>
    <xf numFmtId="179" fontId="20" fillId="78" borderId="304" xfId="4" applyNumberFormat="1" applyFont="1" applyFill="1" applyBorder="1" applyAlignment="1">
      <alignment horizontal="center" vertical="center"/>
    </xf>
    <xf numFmtId="194" fontId="118" fillId="93" borderId="2" xfId="320" applyNumberFormat="1" applyFont="1" applyFill="1" applyBorder="1" applyAlignment="1">
      <alignment horizontal="center" vertical="center" wrapText="1"/>
    </xf>
    <xf numFmtId="0" fontId="20" fillId="77" borderId="2" xfId="4" applyFont="1" applyFill="1" applyBorder="1" applyAlignment="1">
      <alignment horizontal="center"/>
    </xf>
    <xf numFmtId="183" fontId="114" fillId="78" borderId="2" xfId="1" applyNumberFormat="1" applyFont="1" applyFill="1" applyBorder="1" applyAlignment="1">
      <alignment horizontal="center" vertical="center" wrapText="1"/>
    </xf>
    <xf numFmtId="0" fontId="114" fillId="0" borderId="2" xfId="1" applyNumberFormat="1" applyFont="1" applyFill="1" applyBorder="1" applyAlignment="1">
      <alignment horizontal="center" vertical="center" wrapText="1"/>
    </xf>
    <xf numFmtId="0" fontId="20" fillId="77" borderId="2" xfId="4" applyNumberFormat="1" applyFont="1" applyFill="1" applyBorder="1" applyAlignment="1">
      <alignment horizontal="center" vertical="center"/>
    </xf>
    <xf numFmtId="183" fontId="20" fillId="77" borderId="2" xfId="4" applyNumberFormat="1" applyFont="1" applyFill="1" applyBorder="1" applyAlignment="1">
      <alignment horizontal="center" vertical="top"/>
    </xf>
    <xf numFmtId="0" fontId="114" fillId="101" borderId="2" xfId="1" applyNumberFormat="1" applyFont="1" applyFill="1" applyBorder="1" applyAlignment="1">
      <alignment horizontal="center" vertical="center" wrapText="1"/>
    </xf>
    <xf numFmtId="10" fontId="103" fillId="11" borderId="78" xfId="228" applyNumberFormat="1" applyFont="1" applyFill="1" applyBorder="1" applyAlignment="1">
      <alignment horizontal="center" vertical="center" wrapText="1"/>
    </xf>
    <xf numFmtId="10" fontId="103" fillId="16" borderId="78" xfId="228" applyNumberFormat="1" applyFont="1" applyFill="1" applyBorder="1" applyAlignment="1">
      <alignment horizontal="center" vertical="center" wrapText="1"/>
    </xf>
    <xf numFmtId="0" fontId="20" fillId="77" borderId="0" xfId="4" applyFont="1" applyFill="1" applyAlignment="1">
      <alignment horizontal="left"/>
    </xf>
    <xf numFmtId="0" fontId="20" fillId="0" borderId="0" xfId="4" applyBorder="1" applyAlignment="1">
      <alignment horizontal="center"/>
    </xf>
    <xf numFmtId="0" fontId="116" fillId="77" borderId="0" xfId="4" applyFont="1" applyFill="1" applyAlignment="1">
      <alignment horizontal="center"/>
    </xf>
    <xf numFmtId="0" fontId="118" fillId="93" borderId="55" xfId="4" applyFont="1" applyFill="1" applyBorder="1" applyAlignment="1">
      <alignment horizontal="center" vertical="center"/>
    </xf>
    <xf numFmtId="0" fontId="20" fillId="77" borderId="0" xfId="4" applyFont="1" applyFill="1" applyAlignment="1">
      <alignment horizontal="left" vertical="top" wrapText="1"/>
    </xf>
    <xf numFmtId="178" fontId="14" fillId="79" borderId="234" xfId="235" applyNumberFormat="1" applyFont="1" applyFill="1" applyBorder="1" applyAlignment="1">
      <alignment horizontal="center" vertical="center" wrapText="1"/>
    </xf>
    <xf numFmtId="178" fontId="134" fillId="79" borderId="234" xfId="322" applyNumberFormat="1" applyFont="1" applyFill="1" applyBorder="1" applyAlignment="1">
      <alignment horizontal="center" vertical="top"/>
    </xf>
    <xf numFmtId="178" fontId="14" fillId="79" borderId="24" xfId="235" applyNumberFormat="1" applyFont="1" applyFill="1" applyBorder="1" applyAlignment="1">
      <alignment horizontal="center" vertical="center" wrapText="1"/>
    </xf>
    <xf numFmtId="196" fontId="157" fillId="11" borderId="78" xfId="228" applyNumberFormat="1" applyFont="1" applyFill="1" applyBorder="1" applyAlignment="1">
      <alignment horizontal="left" vertical="center" wrapText="1"/>
    </xf>
    <xf numFmtId="189" fontId="157" fillId="16" borderId="78" xfId="228" applyNumberFormat="1" applyFont="1" applyFill="1" applyBorder="1" applyAlignment="1">
      <alignment horizontal="left" vertical="center" wrapText="1"/>
    </xf>
    <xf numFmtId="0" fontId="110" fillId="77" borderId="0" xfId="4" applyFont="1" applyFill="1" applyAlignment="1">
      <alignment horizontal="left"/>
    </xf>
    <xf numFmtId="196" fontId="20" fillId="77" borderId="164" xfId="4" applyNumberFormat="1" applyFont="1" applyFill="1" applyBorder="1" applyAlignment="1">
      <alignment horizontal="center" vertical="center"/>
    </xf>
    <xf numFmtId="196" fontId="20" fillId="77" borderId="163" xfId="4" applyNumberFormat="1" applyFont="1" applyFill="1" applyBorder="1" applyAlignment="1">
      <alignment horizontal="center" vertical="center"/>
    </xf>
    <xf numFmtId="196" fontId="20" fillId="78" borderId="162" xfId="4" applyNumberFormat="1" applyFont="1" applyFill="1" applyBorder="1" applyAlignment="1">
      <alignment horizontal="center" vertical="center"/>
    </xf>
    <xf numFmtId="196" fontId="20" fillId="77" borderId="161" xfId="4" applyNumberFormat="1" applyFont="1" applyFill="1" applyBorder="1" applyAlignment="1">
      <alignment horizontal="center" vertical="center"/>
    </xf>
    <xf numFmtId="196" fontId="20" fillId="78" borderId="160" xfId="4" applyNumberFormat="1" applyFont="1" applyFill="1" applyBorder="1" applyAlignment="1">
      <alignment horizontal="center" vertical="center"/>
    </xf>
    <xf numFmtId="183" fontId="20" fillId="77" borderId="156" xfId="4" applyNumberFormat="1" applyFont="1" applyFill="1" applyBorder="1" applyAlignment="1">
      <alignment horizontal="center" vertical="center"/>
    </xf>
    <xf numFmtId="183" fontId="20" fillId="77" borderId="155" xfId="4" applyNumberFormat="1" applyFont="1" applyFill="1" applyBorder="1" applyAlignment="1">
      <alignment horizontal="center" vertical="center"/>
    </xf>
    <xf numFmtId="183" fontId="20" fillId="78" borderId="154" xfId="4" applyNumberFormat="1" applyFont="1" applyFill="1" applyBorder="1" applyAlignment="1">
      <alignment horizontal="center" vertical="center"/>
    </xf>
    <xf numFmtId="0" fontId="110" fillId="77" borderId="0" xfId="4" applyFont="1" applyFill="1" applyAlignment="1">
      <alignment horizontal="left" vertical="top"/>
    </xf>
    <xf numFmtId="0" fontId="20" fillId="0" borderId="0" xfId="4" applyBorder="1" applyAlignment="1">
      <alignment horizontal="center" vertical="center"/>
    </xf>
    <xf numFmtId="58" fontId="118" fillId="79" borderId="0" xfId="4" applyNumberFormat="1" applyFont="1" applyFill="1" applyBorder="1" applyAlignment="1">
      <alignment horizontal="center" vertical="center" wrapText="1"/>
    </xf>
    <xf numFmtId="196" fontId="20" fillId="0" borderId="194" xfId="4" applyNumberFormat="1" applyBorder="1" applyAlignment="1">
      <alignment horizontal="center" vertical="center"/>
    </xf>
    <xf numFmtId="196" fontId="20" fillId="78" borderId="188" xfId="4" applyNumberFormat="1" applyFill="1" applyBorder="1" applyAlignment="1">
      <alignment horizontal="center" vertical="center"/>
    </xf>
    <xf numFmtId="196" fontId="20" fillId="78" borderId="193" xfId="4" applyNumberFormat="1" applyFont="1" applyFill="1" applyBorder="1" applyAlignment="1">
      <alignment horizontal="center" vertical="center"/>
    </xf>
    <xf numFmtId="0" fontId="20" fillId="78" borderId="162" xfId="4" applyFill="1" applyBorder="1" applyAlignment="1">
      <alignment horizontal="center"/>
    </xf>
    <xf numFmtId="0" fontId="20" fillId="78" borderId="2" xfId="4" applyFill="1" applyBorder="1" applyAlignment="1">
      <alignment horizontal="center"/>
    </xf>
    <xf numFmtId="0" fontId="20" fillId="78" borderId="188" xfId="4" applyFill="1" applyBorder="1" applyAlignment="1">
      <alignment horizontal="center"/>
    </xf>
    <xf numFmtId="192" fontId="114" fillId="79" borderId="0" xfId="1" applyNumberFormat="1" applyFont="1" applyFill="1" applyBorder="1" applyAlignment="1">
      <alignment horizontal="center" vertical="center" wrapText="1"/>
    </xf>
    <xf numFmtId="183" fontId="20" fillId="78" borderId="185" xfId="4" applyNumberFormat="1" applyFill="1" applyBorder="1" applyAlignment="1">
      <alignment horizontal="center"/>
    </xf>
    <xf numFmtId="179" fontId="20" fillId="78" borderId="145" xfId="4" applyNumberFormat="1" applyFill="1" applyBorder="1" applyAlignment="1">
      <alignment horizontal="center"/>
    </xf>
    <xf numFmtId="0" fontId="141" fillId="0" borderId="0" xfId="4" applyFont="1" applyAlignment="1">
      <alignment horizontal="center" vertical="center"/>
    </xf>
    <xf numFmtId="0" fontId="20" fillId="0" borderId="2" xfId="4" applyBorder="1" applyAlignment="1">
      <alignment horizontal="center" vertical="center"/>
    </xf>
    <xf numFmtId="0" fontId="143" fillId="0" borderId="181" xfId="4" applyFont="1" applyBorder="1" applyAlignment="1">
      <alignment horizontal="left" vertical="center" wrapText="1"/>
    </xf>
    <xf numFmtId="0" fontId="143" fillId="0" borderId="182" xfId="4" applyFont="1" applyBorder="1" applyAlignment="1">
      <alignment horizontal="left" vertical="center" wrapText="1"/>
    </xf>
    <xf numFmtId="0" fontId="143" fillId="0" borderId="92" xfId="4" applyFont="1" applyBorder="1" applyAlignment="1">
      <alignment horizontal="left" vertical="center" wrapText="1"/>
    </xf>
    <xf numFmtId="0" fontId="20" fillId="0" borderId="2" xfId="4" applyFont="1" applyBorder="1" applyAlignment="1">
      <alignment horizontal="left" vertical="center" wrapText="1"/>
    </xf>
    <xf numFmtId="0" fontId="20" fillId="0" borderId="2" xfId="4" applyBorder="1" applyAlignment="1">
      <alignment horizontal="left" vertical="center" wrapText="1"/>
    </xf>
    <xf numFmtId="0" fontId="108" fillId="77" borderId="0" xfId="323" applyFont="1" applyFill="1" applyBorder="1" applyAlignment="1">
      <alignment horizontal="center"/>
    </xf>
    <xf numFmtId="0" fontId="20" fillId="77" borderId="295" xfId="323" applyFont="1" applyFill="1" applyBorder="1" applyAlignment="1">
      <alignment horizontal="center" vertical="center"/>
    </xf>
    <xf numFmtId="0" fontId="20" fillId="77" borderId="297" xfId="323" applyFont="1" applyFill="1" applyBorder="1" applyAlignment="1">
      <alignment horizontal="center" vertical="center"/>
    </xf>
    <xf numFmtId="0" fontId="20" fillId="77" borderId="298" xfId="323" applyFont="1" applyFill="1" applyBorder="1" applyAlignment="1">
      <alignment horizontal="center" vertical="center"/>
    </xf>
    <xf numFmtId="0" fontId="20" fillId="77" borderId="299" xfId="323" applyFont="1" applyFill="1" applyBorder="1" applyAlignment="1">
      <alignment horizontal="center" vertical="center"/>
    </xf>
    <xf numFmtId="0" fontId="20" fillId="77" borderId="300" xfId="323" applyFont="1" applyFill="1" applyBorder="1" applyAlignment="1">
      <alignment horizontal="center" vertical="center"/>
    </xf>
    <xf numFmtId="0" fontId="20" fillId="77" borderId="302" xfId="323" applyFont="1" applyFill="1" applyBorder="1" applyAlignment="1">
      <alignment horizontal="center" vertical="center"/>
    </xf>
    <xf numFmtId="0" fontId="7" fillId="0" borderId="106" xfId="0" applyFont="1" applyBorder="1" applyAlignment="1">
      <alignment horizontal="left" vertical="center"/>
    </xf>
    <xf numFmtId="0" fontId="7" fillId="0" borderId="43" xfId="0" applyFont="1" applyBorder="1" applyAlignment="1">
      <alignment horizontal="left" vertical="center"/>
    </xf>
    <xf numFmtId="0" fontId="7" fillId="0" borderId="17" xfId="0" applyFont="1" applyBorder="1" applyAlignment="1">
      <alignment horizontal="left" vertical="center"/>
    </xf>
    <xf numFmtId="0" fontId="155" fillId="100" borderId="106" xfId="0" applyFont="1" applyFill="1" applyBorder="1" applyAlignment="1">
      <alignment horizontal="center" vertical="center"/>
    </xf>
    <xf numFmtId="0" fontId="155" fillId="100" borderId="43" xfId="0" applyFont="1" applyFill="1" applyBorder="1" applyAlignment="1">
      <alignment horizontal="center" vertical="center"/>
    </xf>
    <xf numFmtId="0" fontId="155" fillId="100" borderId="17" xfId="0" applyFont="1" applyFill="1" applyBorder="1" applyAlignment="1">
      <alignment horizontal="center" vertical="center"/>
    </xf>
    <xf numFmtId="0" fontId="118" fillId="22" borderId="2" xfId="0" applyFont="1" applyFill="1" applyBorder="1" applyAlignment="1">
      <alignment horizontal="center" vertical="center"/>
    </xf>
    <xf numFmtId="0" fontId="109" fillId="0" borderId="2" xfId="0" applyFont="1" applyBorder="1" applyAlignment="1">
      <alignment vertical="center"/>
    </xf>
    <xf numFmtId="0" fontId="20" fillId="0" borderId="2" xfId="0" applyFont="1" applyBorder="1" applyAlignment="1">
      <alignment horizontal="left" vertical="top" wrapText="1"/>
    </xf>
    <xf numFmtId="0" fontId="0" fillId="0" borderId="2" xfId="0" applyBorder="1" applyAlignment="1">
      <alignment vertical="center"/>
    </xf>
    <xf numFmtId="0" fontId="116" fillId="0" borderId="0" xfId="4" applyFont="1" applyAlignment="1">
      <alignment horizontal="center"/>
    </xf>
    <xf numFmtId="0" fontId="14" fillId="74" borderId="56" xfId="1" applyFont="1" applyFill="1" applyBorder="1" applyAlignment="1">
      <alignment horizontal="center" vertical="center" wrapText="1"/>
    </xf>
    <xf numFmtId="0" fontId="14" fillId="74" borderId="70" xfId="1" applyFont="1" applyFill="1" applyBorder="1" applyAlignment="1">
      <alignment horizontal="center" vertical="center" wrapText="1"/>
    </xf>
    <xf numFmtId="0" fontId="14" fillId="74" borderId="56" xfId="1" applyFont="1" applyFill="1" applyBorder="1" applyAlignment="1">
      <alignment horizontal="center" vertical="center"/>
    </xf>
    <xf numFmtId="0" fontId="14" fillId="74" borderId="70" xfId="1" applyFont="1" applyFill="1" applyBorder="1" applyAlignment="1">
      <alignment horizontal="center" vertical="center"/>
    </xf>
    <xf numFmtId="0" fontId="95" fillId="72" borderId="56" xfId="4" applyFont="1" applyFill="1" applyBorder="1" applyAlignment="1">
      <alignment horizontal="center" vertical="top"/>
    </xf>
    <xf numFmtId="0" fontId="95" fillId="72" borderId="70" xfId="4" applyFont="1" applyFill="1" applyBorder="1" applyAlignment="1">
      <alignment horizontal="center" vertical="top"/>
    </xf>
    <xf numFmtId="0" fontId="14" fillId="72" borderId="56" xfId="4" applyFont="1" applyFill="1" applyBorder="1" applyAlignment="1">
      <alignment horizontal="center" vertical="top"/>
    </xf>
    <xf numFmtId="0" fontId="14" fillId="72" borderId="66" xfId="4" applyFont="1" applyFill="1" applyBorder="1" applyAlignment="1">
      <alignment horizontal="center" vertical="top"/>
    </xf>
    <xf numFmtId="0" fontId="95" fillId="72" borderId="73" xfId="4" applyFont="1" applyFill="1" applyBorder="1" applyAlignment="1">
      <alignment horizontal="center" vertical="top"/>
    </xf>
    <xf numFmtId="0" fontId="14" fillId="72" borderId="56" xfId="4" applyFont="1" applyFill="1" applyBorder="1" applyAlignment="1">
      <alignment horizontal="center" vertical="center"/>
    </xf>
    <xf numFmtId="0" fontId="95" fillId="72" borderId="70" xfId="4" applyFont="1" applyFill="1" applyBorder="1" applyAlignment="1">
      <alignment horizontal="center" vertical="center"/>
    </xf>
    <xf numFmtId="0" fontId="99" fillId="68" borderId="55" xfId="3" applyFont="1" applyFill="1" applyBorder="1" applyAlignment="1">
      <alignment horizontal="center" vertical="center" wrapText="1"/>
    </xf>
    <xf numFmtId="0" fontId="99" fillId="68" borderId="60" xfId="3" applyFont="1" applyFill="1" applyBorder="1" applyAlignment="1">
      <alignment horizontal="center" vertical="center" wrapText="1"/>
    </xf>
    <xf numFmtId="0" fontId="99" fillId="68" borderId="56" xfId="3" applyFont="1" applyFill="1" applyBorder="1" applyAlignment="1">
      <alignment horizontal="center" vertical="center" wrapText="1"/>
    </xf>
    <xf numFmtId="0" fontId="99" fillId="68" borderId="70" xfId="3" applyFont="1" applyFill="1" applyBorder="1" applyAlignment="1">
      <alignment horizontal="center" vertical="center" wrapText="1"/>
    </xf>
    <xf numFmtId="0" fontId="95" fillId="71" borderId="60" xfId="4" applyFont="1" applyFill="1" applyBorder="1" applyAlignment="1">
      <alignment horizontal="center" vertical="center"/>
    </xf>
    <xf numFmtId="0" fontId="95" fillId="71" borderId="74" xfId="4" applyFont="1" applyFill="1" applyBorder="1" applyAlignment="1">
      <alignment horizontal="center" vertical="center"/>
    </xf>
    <xf numFmtId="0" fontId="95" fillId="71" borderId="75" xfId="4" applyFont="1" applyFill="1" applyBorder="1" applyAlignment="1">
      <alignment horizontal="center" vertical="center"/>
    </xf>
    <xf numFmtId="0" fontId="95" fillId="71" borderId="66" xfId="4" applyFont="1" applyFill="1" applyBorder="1" applyAlignment="1">
      <alignment horizontal="left" vertical="center"/>
    </xf>
    <xf numFmtId="0" fontId="95" fillId="71" borderId="72" xfId="4" applyFont="1" applyFill="1" applyBorder="1" applyAlignment="1">
      <alignment horizontal="left" vertical="center"/>
    </xf>
    <xf numFmtId="0" fontId="95" fillId="71" borderId="73" xfId="4" applyFont="1" applyFill="1" applyBorder="1" applyAlignment="1">
      <alignment horizontal="left" vertical="center"/>
    </xf>
    <xf numFmtId="0" fontId="95" fillId="71" borderId="56" xfId="4" applyFont="1" applyFill="1" applyBorder="1" applyAlignment="1">
      <alignment horizontal="left" vertical="center"/>
    </xf>
    <xf numFmtId="0" fontId="95" fillId="71" borderId="67" xfId="4" applyFont="1" applyFill="1" applyBorder="1" applyAlignment="1">
      <alignment horizontal="left" vertical="center"/>
    </xf>
    <xf numFmtId="0" fontId="95" fillId="71" borderId="70" xfId="4" applyFont="1" applyFill="1" applyBorder="1" applyAlignment="1">
      <alignment horizontal="left" vertical="center"/>
    </xf>
    <xf numFmtId="0" fontId="99" fillId="68" borderId="75" xfId="3" applyFont="1" applyFill="1" applyBorder="1" applyAlignment="1">
      <alignment horizontal="center" vertical="center" wrapText="1"/>
    </xf>
    <xf numFmtId="0" fontId="100" fillId="68" borderId="75" xfId="3" applyFont="1" applyFill="1" applyBorder="1" applyAlignment="1">
      <alignment horizontal="center" vertical="center" wrapText="1"/>
    </xf>
    <xf numFmtId="0" fontId="100" fillId="68" borderId="60" xfId="3" applyFont="1" applyFill="1" applyBorder="1" applyAlignment="1">
      <alignment horizontal="center" vertical="center" wrapText="1"/>
    </xf>
    <xf numFmtId="0" fontId="98" fillId="70" borderId="56" xfId="4" applyFont="1" applyFill="1" applyBorder="1" applyAlignment="1">
      <alignment horizontal="left" vertical="center"/>
    </xf>
    <xf numFmtId="0" fontId="95" fillId="70" borderId="71" xfId="4" applyFont="1" applyFill="1" applyBorder="1" applyAlignment="1">
      <alignment horizontal="left" vertical="center"/>
    </xf>
    <xf numFmtId="0" fontId="95" fillId="70" borderId="69" xfId="4" applyFont="1" applyFill="1" applyBorder="1" applyAlignment="1">
      <alignment horizontal="center" vertical="center"/>
    </xf>
    <xf numFmtId="0" fontId="95" fillId="70" borderId="70" xfId="4" applyFont="1" applyFill="1" applyBorder="1" applyAlignment="1">
      <alignment horizontal="center" vertical="center"/>
    </xf>
    <xf numFmtId="0" fontId="97" fillId="70" borderId="56" xfId="4" applyFont="1" applyFill="1" applyBorder="1" applyAlignment="1">
      <alignment horizontal="left" vertical="center"/>
    </xf>
    <xf numFmtId="0" fontId="95" fillId="70" borderId="67" xfId="4" applyFont="1" applyFill="1" applyBorder="1" applyAlignment="1">
      <alignment horizontal="left" vertical="center"/>
    </xf>
    <xf numFmtId="31" fontId="15" fillId="70" borderId="56" xfId="4" applyNumberFormat="1" applyFont="1" applyFill="1" applyBorder="1" applyAlignment="1">
      <alignment horizontal="center" vertical="center"/>
    </xf>
    <xf numFmtId="31" fontId="15" fillId="70" borderId="70" xfId="4" applyNumberFormat="1" applyFont="1" applyFill="1" applyBorder="1" applyAlignment="1">
      <alignment horizontal="center" vertical="center"/>
    </xf>
    <xf numFmtId="0" fontId="95" fillId="70" borderId="56" xfId="4" applyFont="1" applyFill="1" applyBorder="1" applyAlignment="1">
      <alignment horizontal="left" vertical="center"/>
    </xf>
    <xf numFmtId="0" fontId="96" fillId="70" borderId="69" xfId="4" applyFont="1" applyFill="1" applyBorder="1" applyAlignment="1">
      <alignment horizontal="center" vertical="center"/>
    </xf>
    <xf numFmtId="0" fontId="96" fillId="70" borderId="70" xfId="4" applyFont="1" applyFill="1" applyBorder="1" applyAlignment="1">
      <alignment horizontal="center" vertical="center"/>
    </xf>
    <xf numFmtId="0" fontId="96" fillId="70" borderId="69" xfId="4" applyFont="1" applyFill="1" applyBorder="1" applyAlignment="1">
      <alignment horizontal="left" vertical="center"/>
    </xf>
    <xf numFmtId="0" fontId="96" fillId="70" borderId="70" xfId="4" applyFont="1" applyFill="1" applyBorder="1" applyAlignment="1">
      <alignment horizontal="left" vertical="center"/>
    </xf>
    <xf numFmtId="0" fontId="92" fillId="0" borderId="55" xfId="1" applyFont="1" applyBorder="1" applyAlignment="1">
      <alignment horizontal="center" vertical="center"/>
    </xf>
    <xf numFmtId="0" fontId="17" fillId="68" borderId="57" xfId="3" applyFont="1" applyFill="1" applyBorder="1" applyAlignment="1">
      <alignment horizontal="center" vertical="center" wrapText="1"/>
    </xf>
    <xf numFmtId="0" fontId="17" fillId="68" borderId="58" xfId="3" applyFont="1" applyFill="1" applyBorder="1" applyAlignment="1">
      <alignment horizontal="center" vertical="center" wrapText="1"/>
    </xf>
    <xf numFmtId="0" fontId="17" fillId="68" borderId="59" xfId="3" applyFont="1" applyFill="1" applyBorder="1" applyAlignment="1">
      <alignment horizontal="center" vertical="center" wrapText="1"/>
    </xf>
    <xf numFmtId="0" fontId="94" fillId="69" borderId="57" xfId="1" applyFont="1" applyFill="1" applyBorder="1" applyAlignment="1">
      <alignment horizontal="center" vertical="center" wrapText="1"/>
    </xf>
    <xf numFmtId="0" fontId="94" fillId="69" borderId="59" xfId="1" applyFont="1" applyFill="1" applyBorder="1" applyAlignment="1">
      <alignment horizontal="center" vertical="center" wrapText="1"/>
    </xf>
    <xf numFmtId="0" fontId="95" fillId="70" borderId="61" xfId="4" applyFont="1" applyFill="1" applyBorder="1" applyAlignment="1">
      <alignment horizontal="left" vertical="center"/>
    </xf>
    <xf numFmtId="0" fontId="95" fillId="70" borderId="62" xfId="4" applyFont="1" applyFill="1" applyBorder="1" applyAlignment="1">
      <alignment horizontal="left" vertical="center"/>
    </xf>
    <xf numFmtId="0" fontId="96" fillId="70" borderId="64" xfId="4" applyFont="1" applyFill="1" applyBorder="1" applyAlignment="1">
      <alignment horizontal="left" vertical="center"/>
    </xf>
    <xf numFmtId="0" fontId="96" fillId="70" borderId="65" xfId="4" applyFont="1" applyFill="1" applyBorder="1" applyAlignment="1">
      <alignment horizontal="left" vertical="center"/>
    </xf>
    <xf numFmtId="0" fontId="95" fillId="70" borderId="61" xfId="4" applyFont="1" applyFill="1" applyBorder="1" applyAlignment="1">
      <alignment horizontal="center" vertical="center"/>
    </xf>
    <xf numFmtId="0" fontId="95" fillId="70" borderId="65" xfId="4" applyFont="1" applyFill="1" applyBorder="1" applyAlignment="1">
      <alignment horizontal="center" vertical="center"/>
    </xf>
    <xf numFmtId="0" fontId="14" fillId="9" borderId="12" xfId="2" applyFont="1" applyFill="1" applyBorder="1" applyAlignment="1">
      <alignment horizontal="center"/>
    </xf>
    <xf numFmtId="0" fontId="14" fillId="9" borderId="13" xfId="2" applyFont="1" applyFill="1" applyBorder="1" applyAlignment="1">
      <alignment horizontal="center"/>
    </xf>
    <xf numFmtId="0" fontId="14" fillId="9" borderId="32" xfId="2" applyFont="1" applyFill="1" applyBorder="1" applyAlignment="1">
      <alignment horizontal="center"/>
    </xf>
    <xf numFmtId="0" fontId="15" fillId="0" borderId="29" xfId="2" applyFont="1" applyFill="1" applyBorder="1" applyAlignment="1">
      <alignment horizontal="center" wrapText="1"/>
    </xf>
    <xf numFmtId="0" fontId="14" fillId="9" borderId="12" xfId="2" applyFont="1" applyFill="1" applyBorder="1" applyAlignment="1">
      <alignment horizontal="left"/>
    </xf>
    <xf numFmtId="0" fontId="14" fillId="9" borderId="13" xfId="2" applyFont="1" applyFill="1" applyBorder="1" applyAlignment="1">
      <alignment horizontal="left"/>
    </xf>
    <xf numFmtId="0" fontId="14" fillId="9" borderId="14" xfId="2" applyFont="1" applyFill="1" applyBorder="1" applyAlignment="1">
      <alignment horizontal="center" vertical="center"/>
    </xf>
    <xf numFmtId="0" fontId="14" fillId="9" borderId="15" xfId="2" applyFont="1" applyFill="1" applyBorder="1" applyAlignment="1">
      <alignment horizontal="center" vertical="center"/>
    </xf>
    <xf numFmtId="0" fontId="14" fillId="9" borderId="32" xfId="2" applyFont="1" applyFill="1" applyBorder="1" applyAlignment="1">
      <alignment horizontal="left"/>
    </xf>
    <xf numFmtId="0" fontId="19" fillId="8" borderId="4" xfId="2" applyFont="1" applyFill="1" applyBorder="1" applyAlignment="1">
      <alignment horizontal="left" vertical="center"/>
    </xf>
    <xf numFmtId="0" fontId="19" fillId="8" borderId="22" xfId="2" applyFont="1" applyFill="1" applyBorder="1" applyAlignment="1">
      <alignment horizontal="left" vertical="center"/>
    </xf>
    <xf numFmtId="0" fontId="14" fillId="8" borderId="4" xfId="2" applyFont="1" applyFill="1" applyBorder="1" applyAlignment="1">
      <alignment horizontal="center" vertical="center"/>
    </xf>
    <xf numFmtId="0" fontId="14" fillId="8" borderId="22" xfId="2" applyFont="1" applyFill="1" applyBorder="1" applyAlignment="1">
      <alignment horizontal="center" vertical="center"/>
    </xf>
    <xf numFmtId="0" fontId="14" fillId="9" borderId="12" xfId="2" applyFont="1" applyFill="1" applyBorder="1" applyAlignment="1">
      <alignment horizontal="center" vertical="center"/>
    </xf>
    <xf numFmtId="0" fontId="14" fillId="9" borderId="13" xfId="2" applyFont="1" applyFill="1" applyBorder="1" applyAlignment="1">
      <alignment horizontal="center" vertical="center"/>
    </xf>
    <xf numFmtId="0" fontId="15" fillId="0" borderId="3" xfId="2" applyFont="1" applyBorder="1" applyAlignment="1">
      <alignment horizontal="center" vertical="center"/>
    </xf>
    <xf numFmtId="0" fontId="15" fillId="0" borderId="3" xfId="2" applyFont="1" applyBorder="1" applyAlignment="1">
      <alignment horizontal="left" vertical="center"/>
    </xf>
    <xf numFmtId="0" fontId="16" fillId="0" borderId="4" xfId="2" applyFont="1" applyBorder="1" applyAlignment="1">
      <alignment horizontal="center" vertical="center" wrapText="1"/>
    </xf>
    <xf numFmtId="0" fontId="16" fillId="0" borderId="11" xfId="2" applyFont="1" applyBorder="1" applyAlignment="1">
      <alignment horizontal="center" vertical="center" wrapText="1"/>
    </xf>
    <xf numFmtId="0" fontId="16" fillId="0" borderId="11" xfId="2" applyFont="1" applyBorder="1" applyAlignment="1">
      <alignment horizontal="center" vertical="center"/>
    </xf>
    <xf numFmtId="0" fontId="16" fillId="0" borderId="29" xfId="2" applyFont="1" applyBorder="1" applyAlignment="1">
      <alignment horizontal="center" vertical="center"/>
    </xf>
    <xf numFmtId="0" fontId="16" fillId="0" borderId="36" xfId="2" applyFont="1" applyBorder="1" applyAlignment="1">
      <alignment horizontal="center" vertical="center"/>
    </xf>
    <xf numFmtId="0" fontId="17" fillId="6" borderId="5" xfId="3" applyFont="1" applyFill="1" applyBorder="1" applyAlignment="1">
      <alignment horizontal="center" vertical="center" wrapText="1"/>
    </xf>
    <xf numFmtId="0" fontId="17" fillId="6" borderId="6" xfId="3" applyFont="1" applyFill="1" applyBorder="1" applyAlignment="1">
      <alignment horizontal="center" vertical="center" wrapText="1"/>
    </xf>
    <xf numFmtId="0" fontId="17" fillId="6" borderId="7" xfId="3" applyFont="1" applyFill="1" applyBorder="1" applyAlignment="1">
      <alignment horizontal="center" vertical="center" wrapText="1"/>
    </xf>
    <xf numFmtId="0" fontId="15" fillId="0" borderId="4" xfId="2" applyFont="1" applyBorder="1" applyAlignment="1">
      <alignment horizontal="center" vertical="center" wrapText="1"/>
    </xf>
    <xf numFmtId="0" fontId="15" fillId="0" borderId="11" xfId="2" applyFont="1" applyBorder="1" applyAlignment="1">
      <alignment horizontal="center" vertical="center" wrapText="1"/>
    </xf>
    <xf numFmtId="0" fontId="15" fillId="0" borderId="11" xfId="2" applyFont="1" applyBorder="1" applyAlignment="1">
      <alignment horizontal="center" vertical="center"/>
    </xf>
    <xf numFmtId="0" fontId="15" fillId="0" borderId="22" xfId="2" applyFont="1" applyBorder="1" applyAlignment="1">
      <alignment horizontal="center" vertical="center"/>
    </xf>
    <xf numFmtId="0" fontId="17" fillId="7" borderId="5" xfId="2" applyFont="1" applyFill="1" applyBorder="1" applyAlignment="1">
      <alignment horizontal="center" vertical="center"/>
    </xf>
    <xf numFmtId="0" fontId="17" fillId="7" borderId="6" xfId="2" applyFont="1" applyFill="1" applyBorder="1" applyAlignment="1">
      <alignment horizontal="center" vertical="center"/>
    </xf>
    <xf numFmtId="0" fontId="17" fillId="7" borderId="7" xfId="2" applyFont="1" applyFill="1" applyBorder="1" applyAlignment="1">
      <alignment horizontal="center" vertical="center"/>
    </xf>
    <xf numFmtId="0" fontId="17" fillId="7" borderId="8" xfId="2" applyFont="1" applyFill="1" applyBorder="1" applyAlignment="1">
      <alignment horizontal="center" vertical="center"/>
    </xf>
    <xf numFmtId="0" fontId="17" fillId="7" borderId="9" xfId="2" applyFont="1" applyFill="1" applyBorder="1" applyAlignment="1">
      <alignment horizontal="center" vertical="center"/>
    </xf>
    <xf numFmtId="0" fontId="17" fillId="7" borderId="10" xfId="2" applyFont="1" applyFill="1" applyBorder="1" applyAlignment="1">
      <alignment horizontal="center" vertical="center"/>
    </xf>
    <xf numFmtId="0" fontId="14" fillId="9" borderId="8" xfId="2" applyFont="1" applyFill="1" applyBorder="1" applyAlignment="1">
      <alignment horizontal="center"/>
    </xf>
    <xf numFmtId="0" fontId="14" fillId="9" borderId="9" xfId="2" applyFont="1" applyFill="1" applyBorder="1" applyAlignment="1">
      <alignment horizontal="center"/>
    </xf>
    <xf numFmtId="0" fontId="14" fillId="9" borderId="10" xfId="2" applyFont="1" applyFill="1" applyBorder="1" applyAlignment="1">
      <alignment horizontal="center"/>
    </xf>
    <xf numFmtId="0" fontId="14" fillId="9" borderId="14" xfId="2" applyFont="1" applyFill="1" applyBorder="1" applyAlignment="1">
      <alignment horizontal="center"/>
    </xf>
    <xf numFmtId="0" fontId="14" fillId="9" borderId="15" xfId="2" applyFont="1" applyFill="1" applyBorder="1" applyAlignment="1">
      <alignment horizontal="center"/>
    </xf>
    <xf numFmtId="0" fontId="12" fillId="0" borderId="2" xfId="1" applyFont="1" applyBorder="1" applyAlignment="1">
      <alignment horizontal="left" vertical="center" wrapText="1"/>
    </xf>
    <xf numFmtId="0" fontId="10" fillId="5" borderId="1" xfId="3" applyFont="1" applyFill="1" applyBorder="1" applyAlignment="1">
      <alignment horizontal="left" vertical="center" wrapText="1"/>
    </xf>
    <xf numFmtId="0" fontId="10" fillId="5" borderId="0" xfId="3" applyFont="1" applyFill="1" applyBorder="1" applyAlignment="1">
      <alignment horizontal="left" vertical="center" wrapText="1"/>
    </xf>
    <xf numFmtId="0" fontId="11" fillId="0" borderId="2" xfId="1" applyFont="1" applyBorder="1" applyAlignment="1">
      <alignment horizontal="left" vertical="center" wrapText="1"/>
    </xf>
    <xf numFmtId="0" fontId="104" fillId="7" borderId="86" xfId="228" applyFont="1" applyFill="1" applyBorder="1" applyAlignment="1">
      <alignment horizontal="center" vertical="center" wrapText="1"/>
    </xf>
    <xf numFmtId="0" fontId="104" fillId="7" borderId="85" xfId="228" applyFont="1" applyFill="1" applyBorder="1" applyAlignment="1">
      <alignment horizontal="center" vertical="center" wrapText="1"/>
    </xf>
    <xf numFmtId="0" fontId="104" fillId="7" borderId="236" xfId="228" applyFont="1" applyFill="1" applyBorder="1" applyAlignment="1">
      <alignment horizontal="center" vertical="center" wrapText="1"/>
    </xf>
    <xf numFmtId="0" fontId="107" fillId="7" borderId="86" xfId="228" applyFont="1" applyFill="1" applyBorder="1" applyAlignment="1">
      <alignment horizontal="center" vertical="center" wrapText="1"/>
    </xf>
    <xf numFmtId="0" fontId="107" fillId="7" borderId="85" xfId="228" applyFont="1" applyFill="1" applyBorder="1" applyAlignment="1">
      <alignment horizontal="center" vertical="center" wrapText="1"/>
    </xf>
    <xf numFmtId="0" fontId="107" fillId="7" borderId="237" xfId="228" applyFont="1" applyFill="1" applyBorder="1" applyAlignment="1">
      <alignment horizontal="center" vertical="center" wrapText="1"/>
    </xf>
    <xf numFmtId="0" fontId="107" fillId="7" borderId="84" xfId="228" applyFont="1" applyFill="1" applyBorder="1" applyAlignment="1">
      <alignment horizontal="left" vertical="center" wrapText="1"/>
    </xf>
    <xf numFmtId="0" fontId="107" fillId="7" borderId="83" xfId="228" applyFont="1" applyFill="1" applyBorder="1" applyAlignment="1">
      <alignment horizontal="left" vertical="center" wrapText="1"/>
    </xf>
    <xf numFmtId="0" fontId="107" fillId="7" borderId="294" xfId="228" applyFont="1" applyFill="1" applyBorder="1" applyAlignment="1">
      <alignment horizontal="center" vertical="center" wrapText="1"/>
    </xf>
    <xf numFmtId="0" fontId="107" fillId="7" borderId="0" xfId="228" applyFont="1" applyFill="1" applyBorder="1" applyAlignment="1">
      <alignment horizontal="center" vertical="center" wrapText="1"/>
    </xf>
    <xf numFmtId="0" fontId="107" fillId="7" borderId="72" xfId="228" applyFont="1" applyFill="1" applyBorder="1" applyAlignment="1">
      <alignment horizontal="center" vertical="center" wrapText="1"/>
    </xf>
    <xf numFmtId="0" fontId="107" fillId="7" borderId="73" xfId="228" applyFont="1" applyFill="1" applyBorder="1" applyAlignment="1">
      <alignment horizontal="center" vertical="center" wrapText="1"/>
    </xf>
    <xf numFmtId="0" fontId="110" fillId="0" borderId="0" xfId="228" applyFont="1" applyAlignment="1">
      <alignment vertical="top" wrapText="1"/>
    </xf>
    <xf numFmtId="0" fontId="158" fillId="0" borderId="0" xfId="0" applyFont="1" applyAlignment="1">
      <alignment vertical="top"/>
    </xf>
    <xf numFmtId="0" fontId="0" fillId="0" borderId="0" xfId="0" applyAlignment="1"/>
    <xf numFmtId="0" fontId="107" fillId="7" borderId="239" xfId="228" applyFont="1" applyFill="1" applyBorder="1" applyAlignment="1">
      <alignment horizontal="left" vertical="center" wrapText="1"/>
    </xf>
    <xf numFmtId="0" fontId="107" fillId="7" borderId="72" xfId="228" applyFont="1" applyFill="1" applyBorder="1" applyAlignment="1">
      <alignment horizontal="left" vertical="center" wrapText="1"/>
    </xf>
    <xf numFmtId="0" fontId="106" fillId="7" borderId="240" xfId="228" applyFont="1" applyFill="1" applyBorder="1" applyAlignment="1">
      <alignment horizontal="left" vertical="center" wrapText="1"/>
    </xf>
    <xf numFmtId="0" fontId="106" fillId="7" borderId="67" xfId="228" applyFont="1" applyFill="1" applyBorder="1" applyAlignment="1">
      <alignment horizontal="left" vertical="center" wrapText="1"/>
    </xf>
    <xf numFmtId="0" fontId="106" fillId="7" borderId="84" xfId="228" applyFont="1" applyFill="1" applyBorder="1" applyAlignment="1">
      <alignment horizontal="left" vertical="center" wrapText="1"/>
    </xf>
    <xf numFmtId="0" fontId="106" fillId="7" borderId="83" xfId="228" applyFont="1" applyFill="1" applyBorder="1" applyAlignment="1">
      <alignment horizontal="left" vertical="center" wrapText="1"/>
    </xf>
    <xf numFmtId="0" fontId="105" fillId="76" borderId="81" xfId="4" applyFont="1" applyFill="1" applyBorder="1" applyAlignment="1">
      <alignment horizontal="center" vertical="center" wrapText="1"/>
    </xf>
    <xf numFmtId="0" fontId="105" fillId="76" borderId="80" xfId="4" applyFont="1" applyFill="1" applyBorder="1" applyAlignment="1">
      <alignment horizontal="center" vertical="center" wrapText="1"/>
    </xf>
    <xf numFmtId="0" fontId="106" fillId="7" borderId="86" xfId="228" applyFont="1" applyFill="1" applyBorder="1" applyAlignment="1">
      <alignment horizontal="left" vertical="center" wrapText="1"/>
    </xf>
    <xf numFmtId="0" fontId="106" fillId="7" borderId="85" xfId="228" applyFont="1" applyFill="1" applyBorder="1" applyAlignment="1">
      <alignment horizontal="left" vertical="center" wrapText="1"/>
    </xf>
    <xf numFmtId="0" fontId="108" fillId="0" borderId="38" xfId="4" applyFont="1" applyBorder="1" applyAlignment="1">
      <alignment horizontal="center" vertical="center"/>
    </xf>
    <xf numFmtId="0" fontId="108" fillId="0" borderId="77" xfId="4" applyFont="1" applyBorder="1" applyAlignment="1">
      <alignment horizontal="center" vertical="center"/>
    </xf>
    <xf numFmtId="0" fontId="108" fillId="0" borderId="35" xfId="4" applyFont="1" applyBorder="1" applyAlignment="1">
      <alignment horizontal="center" vertical="center"/>
    </xf>
    <xf numFmtId="0" fontId="108" fillId="0" borderId="39" xfId="4" applyFont="1" applyBorder="1" applyAlignment="1">
      <alignment horizontal="center" vertical="center"/>
    </xf>
    <xf numFmtId="0" fontId="108" fillId="0" borderId="108" xfId="4" applyFont="1" applyBorder="1" applyAlignment="1">
      <alignment horizontal="center" vertical="center"/>
    </xf>
    <xf numFmtId="0" fontId="108" fillId="0" borderId="107" xfId="4" applyFont="1" applyBorder="1" applyAlignment="1">
      <alignment horizontal="center" vertical="center"/>
    </xf>
    <xf numFmtId="58" fontId="118" fillId="3" borderId="94" xfId="4" applyNumberFormat="1" applyFont="1" applyFill="1" applyBorder="1" applyAlignment="1">
      <alignment horizontal="center" vertical="center" wrapText="1"/>
    </xf>
    <xf numFmtId="58" fontId="118" fillId="3" borderId="91" xfId="4" applyNumberFormat="1" applyFont="1" applyFill="1" applyBorder="1" applyAlignment="1">
      <alignment horizontal="center" vertical="center" wrapText="1"/>
    </xf>
    <xf numFmtId="0" fontId="20" fillId="77" borderId="0" xfId="4" applyFont="1" applyFill="1" applyAlignment="1">
      <alignment horizontal="left"/>
    </xf>
    <xf numFmtId="0" fontId="20" fillId="77" borderId="98" xfId="4" applyFont="1" applyFill="1" applyBorder="1" applyAlignment="1">
      <alignment horizontal="left"/>
    </xf>
    <xf numFmtId="0" fontId="20" fillId="0" borderId="99" xfId="4" applyBorder="1" applyAlignment="1">
      <alignment horizontal="center"/>
    </xf>
    <xf numFmtId="0" fontId="20" fillId="0" borderId="0" xfId="4" applyBorder="1" applyAlignment="1">
      <alignment horizontal="center"/>
    </xf>
    <xf numFmtId="58" fontId="118" fillId="93" borderId="95" xfId="4" applyNumberFormat="1" applyFont="1" applyFill="1" applyBorder="1" applyAlignment="1">
      <alignment horizontal="center" vertical="center" wrapText="1"/>
    </xf>
    <xf numFmtId="58" fontId="118" fillId="93" borderId="92" xfId="4" applyNumberFormat="1" applyFont="1" applyFill="1" applyBorder="1" applyAlignment="1">
      <alignment horizontal="center" vertical="center" wrapText="1"/>
    </xf>
    <xf numFmtId="0" fontId="118" fillId="93" borderId="90" xfId="4" applyFont="1" applyFill="1" applyBorder="1" applyAlignment="1">
      <alignment horizontal="center" vertical="center" wrapText="1"/>
    </xf>
    <xf numFmtId="0" fontId="118" fillId="93" borderId="89" xfId="4" applyFont="1" applyFill="1" applyBorder="1" applyAlignment="1">
      <alignment horizontal="center" vertical="center" wrapText="1"/>
    </xf>
    <xf numFmtId="0" fontId="118" fillId="93" borderId="88" xfId="4" applyFont="1" applyFill="1" applyBorder="1" applyAlignment="1">
      <alignment horizontal="center" vertical="center" wrapText="1"/>
    </xf>
    <xf numFmtId="0" fontId="108" fillId="0" borderId="43" xfId="4" applyFont="1" applyBorder="1" applyAlignment="1">
      <alignment horizontal="center" vertical="center"/>
    </xf>
    <xf numFmtId="58" fontId="118" fillId="93" borderId="97" xfId="4" applyNumberFormat="1" applyFont="1" applyFill="1" applyBorder="1" applyAlignment="1">
      <alignment horizontal="center" vertical="center" wrapText="1"/>
    </xf>
    <xf numFmtId="58" fontId="118" fillId="93" borderId="93" xfId="4" applyNumberFormat="1" applyFont="1" applyFill="1" applyBorder="1" applyAlignment="1">
      <alignment horizontal="center" vertical="center" wrapText="1"/>
    </xf>
    <xf numFmtId="0" fontId="120" fillId="15" borderId="0" xfId="4" applyFont="1" applyFill="1" applyAlignment="1">
      <alignment horizontal="left" vertical="top" wrapText="1"/>
    </xf>
    <xf numFmtId="0" fontId="120" fillId="15" borderId="0" xfId="4" applyFont="1" applyFill="1" applyAlignment="1">
      <alignment horizontal="left" vertical="top"/>
    </xf>
    <xf numFmtId="58" fontId="118" fillId="93" borderId="96" xfId="4" applyNumberFormat="1" applyFont="1" applyFill="1" applyBorder="1" applyAlignment="1">
      <alignment horizontal="center" vertical="center" wrapText="1"/>
    </xf>
    <xf numFmtId="58" fontId="118" fillId="93" borderId="99" xfId="4" applyNumberFormat="1" applyFont="1" applyFill="1" applyBorder="1" applyAlignment="1">
      <alignment horizontal="center" vertical="center" wrapText="1"/>
    </xf>
    <xf numFmtId="58" fontId="118" fillId="93" borderId="104" xfId="4" applyNumberFormat="1" applyFont="1" applyFill="1" applyBorder="1" applyAlignment="1">
      <alignment horizontal="center" vertical="center" wrapText="1"/>
    </xf>
    <xf numFmtId="10" fontId="112" fillId="78" borderId="112" xfId="4" applyNumberFormat="1" applyFont="1" applyFill="1" applyBorder="1" applyAlignment="1">
      <alignment horizontal="center"/>
    </xf>
    <xf numFmtId="10" fontId="112" fillId="78" borderId="111" xfId="4" applyNumberFormat="1" applyFont="1" applyFill="1" applyBorder="1" applyAlignment="1">
      <alignment horizontal="center"/>
    </xf>
    <xf numFmtId="0" fontId="150" fillId="95" borderId="76" xfId="0" applyFont="1" applyFill="1" applyBorder="1" applyAlignment="1">
      <alignment horizontal="center" vertical="center" wrapText="1"/>
    </xf>
    <xf numFmtId="0" fontId="150" fillId="95" borderId="253" xfId="0" applyFont="1" applyFill="1" applyBorder="1" applyAlignment="1">
      <alignment horizontal="center" vertical="center" wrapText="1"/>
    </xf>
    <xf numFmtId="0" fontId="151" fillId="95" borderId="60" xfId="0" applyFont="1" applyFill="1" applyBorder="1" applyAlignment="1">
      <alignment horizontal="left" vertical="center" wrapText="1"/>
    </xf>
    <xf numFmtId="0" fontId="151" fillId="95" borderId="74" xfId="0" applyFont="1" applyFill="1" applyBorder="1" applyAlignment="1">
      <alignment horizontal="left" vertical="center" wrapText="1"/>
    </xf>
    <xf numFmtId="0" fontId="151" fillId="95" borderId="75" xfId="0" applyFont="1" applyFill="1" applyBorder="1" applyAlignment="1">
      <alignment horizontal="left" vertical="center" wrapText="1"/>
    </xf>
    <xf numFmtId="0" fontId="20" fillId="0" borderId="190" xfId="4" applyFont="1" applyFill="1" applyBorder="1" applyAlignment="1">
      <alignment horizontal="center"/>
    </xf>
    <xf numFmtId="0" fontId="20" fillId="0" borderId="241" xfId="4" applyFont="1" applyFill="1" applyBorder="1" applyAlignment="1">
      <alignment horizontal="center"/>
    </xf>
    <xf numFmtId="0" fontId="20" fillId="0" borderId="191" xfId="4" applyFont="1" applyFill="1" applyBorder="1" applyAlignment="1">
      <alignment horizontal="center"/>
    </xf>
    <xf numFmtId="10" fontId="112" fillId="78" borderId="119" xfId="4" applyNumberFormat="1" applyFont="1" applyFill="1" applyBorder="1" applyAlignment="1">
      <alignment horizontal="center"/>
    </xf>
    <xf numFmtId="10" fontId="112" fillId="78" borderId="118" xfId="4" applyNumberFormat="1" applyFont="1" applyFill="1" applyBorder="1" applyAlignment="1">
      <alignment horizontal="center"/>
    </xf>
    <xf numFmtId="183" fontId="113" fillId="78" borderId="119" xfId="4" applyNumberFormat="1" applyFont="1" applyFill="1" applyBorder="1" applyAlignment="1">
      <alignment horizontal="center"/>
    </xf>
    <xf numFmtId="183" fontId="113" fillId="78" borderId="118" xfId="4" applyNumberFormat="1" applyFont="1" applyFill="1" applyBorder="1" applyAlignment="1">
      <alignment horizontal="center"/>
    </xf>
    <xf numFmtId="0" fontId="138" fillId="93" borderId="123" xfId="4" applyNumberFormat="1" applyFont="1" applyFill="1" applyBorder="1" applyAlignment="1">
      <alignment horizontal="center" vertical="center" wrapText="1"/>
    </xf>
    <xf numFmtId="0" fontId="138" fillId="93" borderId="116" xfId="4" applyNumberFormat="1" applyFont="1" applyFill="1" applyBorder="1" applyAlignment="1">
      <alignment horizontal="center" vertical="center" wrapText="1"/>
    </xf>
    <xf numFmtId="9" fontId="111" fillId="77" borderId="122" xfId="4" applyNumberFormat="1" applyFont="1" applyFill="1" applyBorder="1" applyAlignment="1">
      <alignment horizontal="center" vertical="center"/>
    </xf>
    <xf numFmtId="9" fontId="111" fillId="77" borderId="115" xfId="4" applyNumberFormat="1" applyFont="1" applyFill="1" applyBorder="1" applyAlignment="1">
      <alignment horizontal="center" vertical="center"/>
    </xf>
    <xf numFmtId="0" fontId="113" fillId="78" borderId="119" xfId="4" applyFont="1" applyFill="1" applyBorder="1" applyAlignment="1">
      <alignment horizontal="center"/>
    </xf>
    <xf numFmtId="0" fontId="113" fillId="78" borderId="118" xfId="4" applyFont="1" applyFill="1" applyBorder="1" applyAlignment="1">
      <alignment horizontal="center"/>
    </xf>
    <xf numFmtId="0" fontId="138" fillId="93" borderId="123" xfId="4" applyFont="1" applyFill="1" applyBorder="1" applyAlignment="1">
      <alignment horizontal="center" vertical="center"/>
    </xf>
    <xf numFmtId="0" fontId="138" fillId="93" borderId="116" xfId="4" applyFont="1" applyFill="1" applyBorder="1" applyAlignment="1">
      <alignment horizontal="center" vertical="center"/>
    </xf>
    <xf numFmtId="9" fontId="111" fillId="0" borderId="122" xfId="4" applyNumberFormat="1" applyFont="1" applyFill="1" applyBorder="1" applyAlignment="1">
      <alignment horizontal="center" vertical="center"/>
    </xf>
    <xf numFmtId="9" fontId="111" fillId="0" borderId="115" xfId="4" applyNumberFormat="1" applyFont="1" applyFill="1" applyBorder="1" applyAlignment="1">
      <alignment horizontal="center" vertical="center"/>
    </xf>
    <xf numFmtId="0" fontId="20" fillId="14" borderId="134" xfId="4" applyFont="1" applyFill="1" applyBorder="1" applyAlignment="1">
      <alignment horizontal="center" vertical="center"/>
    </xf>
    <xf numFmtId="0" fontId="20" fillId="14" borderId="133" xfId="4" applyFont="1" applyFill="1" applyBorder="1" applyAlignment="1">
      <alignment horizontal="center" vertical="center"/>
    </xf>
    <xf numFmtId="0" fontId="20" fillId="14" borderId="130" xfId="4" applyFont="1" applyFill="1" applyBorder="1" applyAlignment="1">
      <alignment horizontal="center" vertical="center"/>
    </xf>
    <xf numFmtId="0" fontId="20" fillId="14" borderId="129" xfId="4" applyFont="1" applyFill="1" applyBorder="1" applyAlignment="1">
      <alignment horizontal="center" vertical="center"/>
    </xf>
    <xf numFmtId="0" fontId="138" fillId="93" borderId="128" xfId="4" applyFont="1" applyFill="1" applyBorder="1" applyAlignment="1">
      <alignment horizontal="center" vertical="center"/>
    </xf>
    <xf numFmtId="9" fontId="111" fillId="77" borderId="127" xfId="4" applyNumberFormat="1" applyFont="1" applyFill="1" applyBorder="1" applyAlignment="1">
      <alignment horizontal="center" vertical="center"/>
    </xf>
    <xf numFmtId="0" fontId="116" fillId="77" borderId="0" xfId="4" applyFont="1" applyFill="1" applyAlignment="1">
      <alignment horizontal="center"/>
    </xf>
    <xf numFmtId="0" fontId="74" fillId="0" borderId="139" xfId="4" applyFont="1" applyFill="1" applyBorder="1" applyAlignment="1">
      <alignment horizontal="center" vertical="center"/>
    </xf>
    <xf numFmtId="0" fontId="74" fillId="0" borderId="132" xfId="4" applyFont="1" applyFill="1" applyBorder="1" applyAlignment="1">
      <alignment horizontal="center" vertical="center"/>
    </xf>
    <xf numFmtId="0" fontId="118" fillId="14" borderId="136" xfId="4" applyFont="1" applyFill="1" applyBorder="1" applyAlignment="1">
      <alignment horizontal="center" vertical="center"/>
    </xf>
    <xf numFmtId="0" fontId="118" fillId="14" borderId="131" xfId="4" applyFont="1" applyFill="1" applyBorder="1" applyAlignment="1">
      <alignment horizontal="center" vertical="center"/>
    </xf>
    <xf numFmtId="0" fontId="118" fillId="93" borderId="138" xfId="4" applyFont="1" applyFill="1" applyBorder="1" applyAlignment="1">
      <alignment horizontal="center" vertical="center"/>
    </xf>
    <xf numFmtId="0" fontId="118" fillId="93" borderId="137" xfId="4" applyFont="1" applyFill="1" applyBorder="1" applyAlignment="1">
      <alignment horizontal="center" vertical="center"/>
    </xf>
    <xf numFmtId="0" fontId="118" fillId="3" borderId="136" xfId="4" applyFont="1" applyFill="1" applyBorder="1" applyAlignment="1">
      <alignment horizontal="center" vertical="center"/>
    </xf>
    <xf numFmtId="0" fontId="118" fillId="3" borderId="131" xfId="4" applyFont="1" applyFill="1" applyBorder="1" applyAlignment="1">
      <alignment horizontal="center" vertical="center"/>
    </xf>
    <xf numFmtId="0" fontId="118" fillId="3" borderId="135" xfId="4" applyFont="1" applyFill="1" applyBorder="1" applyAlignment="1">
      <alignment horizontal="center" vertical="center"/>
    </xf>
    <xf numFmtId="0" fontId="118" fillId="3" borderId="125" xfId="4" applyFont="1" applyFill="1" applyBorder="1" applyAlignment="1">
      <alignment horizontal="center" vertical="center"/>
    </xf>
    <xf numFmtId="0" fontId="151" fillId="95" borderId="55" xfId="0" applyFont="1" applyFill="1" applyBorder="1" applyAlignment="1">
      <alignment horizontal="left" vertical="center" wrapText="1"/>
    </xf>
    <xf numFmtId="0" fontId="118" fillId="93" borderId="55" xfId="4" applyFont="1" applyFill="1" applyBorder="1" applyAlignment="1">
      <alignment horizontal="center" vertical="center"/>
    </xf>
    <xf numFmtId="190" fontId="113" fillId="78" borderId="243" xfId="4" applyNumberFormat="1" applyFont="1" applyFill="1" applyBorder="1" applyAlignment="1">
      <alignment horizontal="center" vertical="center"/>
    </xf>
    <xf numFmtId="190" fontId="113" fillId="78" borderId="244" xfId="4" applyNumberFormat="1" applyFont="1" applyFill="1" applyBorder="1" applyAlignment="1">
      <alignment horizontal="center" vertical="center"/>
    </xf>
    <xf numFmtId="0" fontId="20" fillId="77" borderId="0" xfId="4" applyFont="1" applyFill="1" applyBorder="1" applyAlignment="1">
      <alignment horizontal="left"/>
    </xf>
    <xf numFmtId="0" fontId="118" fillId="3" borderId="139" xfId="4" applyFont="1" applyFill="1" applyBorder="1" applyAlignment="1">
      <alignment horizontal="center" vertical="center" wrapText="1"/>
    </xf>
    <xf numFmtId="0" fontId="118" fillId="3" borderId="172" xfId="4" applyFont="1" applyFill="1" applyBorder="1" applyAlignment="1">
      <alignment horizontal="center" vertical="center" wrapText="1"/>
    </xf>
    <xf numFmtId="0" fontId="20" fillId="78" borderId="175" xfId="4" applyNumberFormat="1" applyFont="1" applyFill="1" applyBorder="1" applyAlignment="1">
      <alignment horizontal="center" vertical="center"/>
    </xf>
    <xf numFmtId="0" fontId="20" fillId="78" borderId="171" xfId="4" applyNumberFormat="1" applyFont="1" applyFill="1" applyBorder="1" applyAlignment="1">
      <alignment horizontal="center" vertical="center"/>
    </xf>
    <xf numFmtId="0" fontId="120" fillId="15" borderId="0" xfId="4" applyNumberFormat="1" applyFont="1" applyFill="1" applyAlignment="1">
      <alignment horizontal="left" vertical="top" wrapText="1"/>
    </xf>
    <xf numFmtId="0" fontId="20" fillId="77" borderId="140" xfId="4" applyFont="1" applyFill="1" applyBorder="1" applyAlignment="1">
      <alignment horizontal="left"/>
    </xf>
    <xf numFmtId="0" fontId="0" fillId="0" borderId="140" xfId="0" applyBorder="1" applyAlignment="1"/>
    <xf numFmtId="0" fontId="0" fillId="0" borderId="307" xfId="0" applyBorder="1" applyAlignment="1"/>
    <xf numFmtId="58" fontId="118" fillId="93" borderId="55" xfId="4" applyNumberFormat="1" applyFont="1" applyFill="1" applyBorder="1" applyAlignment="1">
      <alignment horizontal="center" vertical="center" wrapText="1"/>
    </xf>
    <xf numFmtId="58" fontId="118" fillId="93" borderId="55" xfId="4" applyNumberFormat="1" applyFont="1" applyFill="1" applyBorder="1" applyAlignment="1">
      <alignment horizontal="center" vertical="center"/>
    </xf>
    <xf numFmtId="0" fontId="151" fillId="95" borderId="55" xfId="0" applyFont="1" applyFill="1" applyBorder="1" applyAlignment="1">
      <alignment horizontal="center" vertical="center" wrapText="1"/>
    </xf>
    <xf numFmtId="58" fontId="118" fillId="93" borderId="60" xfId="4" applyNumberFormat="1" applyFont="1" applyFill="1" applyBorder="1" applyAlignment="1">
      <alignment horizontal="center" vertical="center"/>
    </xf>
    <xf numFmtId="58" fontId="118" fillId="93" borderId="75" xfId="4" applyNumberFormat="1" applyFont="1" applyFill="1" applyBorder="1" applyAlignment="1">
      <alignment horizontal="center" vertical="center"/>
    </xf>
    <xf numFmtId="58" fontId="118" fillId="93" borderId="60" xfId="4" applyNumberFormat="1" applyFont="1" applyFill="1" applyBorder="1" applyAlignment="1">
      <alignment horizontal="center" vertical="center" wrapText="1"/>
    </xf>
    <xf numFmtId="58" fontId="118" fillId="93" borderId="75" xfId="4" applyNumberFormat="1" applyFont="1" applyFill="1" applyBorder="1" applyAlignment="1">
      <alignment horizontal="center" vertical="center" wrapText="1"/>
    </xf>
    <xf numFmtId="0" fontId="153" fillId="77" borderId="72" xfId="4" applyNumberFormat="1" applyFont="1" applyFill="1" applyBorder="1" applyAlignment="1">
      <alignment horizontal="left" vertical="top"/>
    </xf>
    <xf numFmtId="0" fontId="20" fillId="77" borderId="0" xfId="4" applyFont="1" applyFill="1" applyAlignment="1">
      <alignment horizontal="left" vertical="top" wrapText="1"/>
    </xf>
    <xf numFmtId="58" fontId="118" fillId="93" borderId="271" xfId="4" applyNumberFormat="1" applyFont="1" applyFill="1" applyBorder="1" applyAlignment="1">
      <alignment horizontal="center" vertical="center" wrapText="1"/>
    </xf>
    <xf numFmtId="58" fontId="118" fillId="93" borderId="276" xfId="4" applyNumberFormat="1" applyFont="1" applyFill="1" applyBorder="1" applyAlignment="1">
      <alignment horizontal="center" vertical="center" wrapText="1"/>
    </xf>
    <xf numFmtId="192" fontId="140" fillId="3" borderId="272" xfId="1" applyNumberFormat="1" applyFont="1" applyFill="1" applyBorder="1" applyAlignment="1">
      <alignment horizontal="center" vertical="center" wrapText="1"/>
    </xf>
    <xf numFmtId="192" fontId="140" fillId="3" borderId="281" xfId="1" applyNumberFormat="1" applyFont="1" applyFill="1" applyBorder="1" applyAlignment="1">
      <alignment horizontal="center" vertical="center" wrapText="1"/>
    </xf>
    <xf numFmtId="0" fontId="20" fillId="78" borderId="273" xfId="4" applyFill="1" applyBorder="1" applyAlignment="1">
      <alignment horizontal="center" vertical="center"/>
    </xf>
    <xf numFmtId="0" fontId="20" fillId="78" borderId="282" xfId="4" applyFill="1" applyBorder="1" applyAlignment="1">
      <alignment horizontal="center" vertical="center"/>
    </xf>
    <xf numFmtId="0" fontId="5" fillId="0" borderId="2" xfId="4" applyFont="1" applyBorder="1" applyAlignment="1">
      <alignment horizontal="center" vertical="center"/>
    </xf>
    <xf numFmtId="0" fontId="5" fillId="0" borderId="283" xfId="4" applyFont="1" applyBorder="1" applyAlignment="1">
      <alignment horizontal="center" vertical="center"/>
    </xf>
    <xf numFmtId="192" fontId="140" fillId="93" borderId="261" xfId="1" applyNumberFormat="1" applyFont="1" applyFill="1" applyBorder="1" applyAlignment="1">
      <alignment horizontal="center" vertical="center" wrapText="1"/>
    </xf>
    <xf numFmtId="58" fontId="20" fillId="14" borderId="272" xfId="4" applyNumberFormat="1" applyFont="1" applyFill="1" applyBorder="1" applyAlignment="1">
      <alignment horizontal="center" vertical="center" wrapText="1"/>
    </xf>
    <xf numFmtId="58" fontId="20" fillId="14" borderId="273" xfId="4" applyNumberFormat="1" applyFont="1" applyFill="1" applyBorder="1" applyAlignment="1">
      <alignment horizontal="center" vertical="center" wrapText="1"/>
    </xf>
    <xf numFmtId="0" fontId="5" fillId="0" borderId="186" xfId="4" applyFont="1" applyBorder="1" applyAlignment="1">
      <alignment horizontal="center" vertical="center"/>
    </xf>
    <xf numFmtId="0" fontId="5" fillId="0" borderId="275" xfId="4" applyFont="1" applyBorder="1" applyAlignment="1">
      <alignment horizontal="center" vertical="center"/>
    </xf>
    <xf numFmtId="0" fontId="5" fillId="0" borderId="279" xfId="4" applyFont="1" applyBorder="1" applyAlignment="1">
      <alignment horizontal="center" vertical="center"/>
    </xf>
    <xf numFmtId="0" fontId="5" fillId="0" borderId="280" xfId="4" applyFont="1" applyBorder="1" applyAlignment="1">
      <alignment horizontal="center" vertical="center"/>
    </xf>
    <xf numFmtId="58" fontId="118" fillId="93" borderId="268" xfId="4" applyNumberFormat="1" applyFont="1" applyFill="1" applyBorder="1" applyAlignment="1">
      <alignment horizontal="center" vertical="center" wrapText="1"/>
    </xf>
    <xf numFmtId="58" fontId="118" fillId="93" borderId="270" xfId="4" applyNumberFormat="1" applyFont="1" applyFill="1" applyBorder="1" applyAlignment="1">
      <alignment horizontal="center" vertical="center" wrapText="1"/>
    </xf>
    <xf numFmtId="58" fontId="118" fillId="93" borderId="269" xfId="4" applyNumberFormat="1" applyFont="1" applyFill="1" applyBorder="1" applyAlignment="1">
      <alignment horizontal="center" vertical="center" wrapText="1"/>
    </xf>
    <xf numFmtId="192" fontId="140" fillId="93" borderId="268" xfId="1" applyNumberFormat="1" applyFont="1" applyFill="1" applyBorder="1" applyAlignment="1">
      <alignment horizontal="center" vertical="center" wrapText="1"/>
    </xf>
    <xf numFmtId="192" fontId="140" fillId="93" borderId="269" xfId="1" applyNumberFormat="1" applyFont="1" applyFill="1" applyBorder="1" applyAlignment="1">
      <alignment horizontal="center" vertical="center" wrapText="1"/>
    </xf>
    <xf numFmtId="192" fontId="140" fillId="93" borderId="264" xfId="1" applyNumberFormat="1" applyFont="1" applyFill="1" applyBorder="1" applyAlignment="1">
      <alignment horizontal="center" vertical="center" wrapText="1"/>
    </xf>
    <xf numFmtId="192" fontId="140" fillId="93" borderId="265" xfId="1" applyNumberFormat="1" applyFont="1" applyFill="1" applyBorder="1" applyAlignment="1">
      <alignment horizontal="center" vertical="center" wrapText="1"/>
    </xf>
    <xf numFmtId="192" fontId="140" fillId="93" borderId="266" xfId="1" applyNumberFormat="1" applyFont="1" applyFill="1" applyBorder="1" applyAlignment="1">
      <alignment horizontal="center" vertical="center" wrapText="1"/>
    </xf>
    <xf numFmtId="192" fontId="140" fillId="93" borderId="267" xfId="1" applyNumberFormat="1" applyFont="1" applyFill="1" applyBorder="1" applyAlignment="1">
      <alignment horizontal="center" vertical="center" wrapText="1"/>
    </xf>
    <xf numFmtId="0" fontId="20" fillId="0" borderId="262" xfId="4" applyBorder="1" applyAlignment="1">
      <alignment horizontal="center" vertical="center"/>
    </xf>
    <xf numFmtId="0" fontId="20" fillId="0" borderId="263" xfId="4" applyBorder="1" applyAlignment="1">
      <alignment horizontal="center" vertical="center"/>
    </xf>
    <xf numFmtId="0" fontId="121" fillId="0" borderId="6" xfId="4" applyFont="1" applyBorder="1" applyAlignment="1">
      <alignment horizontal="left" vertical="center" wrapText="1"/>
    </xf>
    <xf numFmtId="0" fontId="5" fillId="0" borderId="281" xfId="4" applyFont="1" applyBorder="1" applyAlignment="1">
      <alignment horizontal="center" vertical="center"/>
    </xf>
    <xf numFmtId="0" fontId="5" fillId="0" borderId="282" xfId="4" applyFont="1" applyBorder="1" applyAlignment="1">
      <alignment horizontal="center" vertical="center"/>
    </xf>
    <xf numFmtId="58" fontId="20" fillId="14" borderId="284" xfId="4" applyNumberFormat="1" applyFont="1" applyFill="1" applyBorder="1" applyAlignment="1">
      <alignment horizontal="center" vertical="center" wrapText="1"/>
    </xf>
    <xf numFmtId="58" fontId="20" fillId="14" borderId="285" xfId="4" applyNumberFormat="1" applyFont="1" applyFill="1" applyBorder="1" applyAlignment="1">
      <alignment horizontal="center" vertical="center" wrapText="1"/>
    </xf>
    <xf numFmtId="58" fontId="20" fillId="14" borderId="286" xfId="4" applyNumberFormat="1" applyFont="1" applyFill="1" applyBorder="1" applyAlignment="1">
      <alignment horizontal="center" vertical="center" wrapText="1"/>
    </xf>
    <xf numFmtId="0" fontId="20" fillId="0" borderId="0" xfId="4" applyFont="1" applyAlignment="1">
      <alignment horizontal="left" vertical="top" wrapText="1"/>
    </xf>
    <xf numFmtId="0" fontId="5" fillId="0" borderId="106" xfId="4" applyFont="1" applyBorder="1" applyAlignment="1">
      <alignment horizontal="left" vertical="center"/>
    </xf>
    <xf numFmtId="0" fontId="5" fillId="0" borderId="43" xfId="4" applyFont="1" applyBorder="1" applyAlignment="1">
      <alignment horizontal="left" vertical="center"/>
    </xf>
    <xf numFmtId="0" fontId="5" fillId="0" borderId="275" xfId="4" applyFont="1" applyBorder="1" applyAlignment="1">
      <alignment horizontal="left" vertical="center"/>
    </xf>
    <xf numFmtId="0" fontId="5" fillId="0" borderId="290" xfId="4" applyFont="1" applyBorder="1" applyAlignment="1">
      <alignment horizontal="left" vertical="center"/>
    </xf>
    <xf numFmtId="0" fontId="5" fillId="0" borderId="277" xfId="4" applyFont="1" applyBorder="1" applyAlignment="1">
      <alignment horizontal="left" vertical="center"/>
    </xf>
    <xf numFmtId="0" fontId="5" fillId="0" borderId="280" xfId="4" applyFont="1" applyBorder="1" applyAlignment="1">
      <alignment horizontal="left" vertical="center"/>
    </xf>
    <xf numFmtId="183" fontId="114" fillId="78" borderId="213" xfId="1" applyNumberFormat="1" applyFont="1" applyFill="1" applyBorder="1" applyAlignment="1">
      <alignment horizontal="center" vertical="center" wrapText="1"/>
    </xf>
    <xf numFmtId="183" fontId="114" fillId="78" borderId="212" xfId="1" applyNumberFormat="1" applyFont="1" applyFill="1" applyBorder="1" applyAlignment="1">
      <alignment horizontal="center" vertical="center" wrapText="1"/>
    </xf>
    <xf numFmtId="183" fontId="114" fillId="78" borderId="209" xfId="1" applyNumberFormat="1" applyFont="1" applyFill="1" applyBorder="1" applyAlignment="1">
      <alignment horizontal="center" vertical="center" wrapText="1"/>
    </xf>
    <xf numFmtId="183" fontId="114" fillId="78" borderId="208" xfId="1" applyNumberFormat="1" applyFont="1" applyFill="1" applyBorder="1" applyAlignment="1">
      <alignment horizontal="center" vertical="center" wrapText="1"/>
    </xf>
    <xf numFmtId="0" fontId="20" fillId="13" borderId="106" xfId="4" applyFont="1" applyFill="1" applyBorder="1" applyAlignment="1">
      <alignment horizontal="left"/>
    </xf>
    <xf numFmtId="0" fontId="20" fillId="13" borderId="43" xfId="4" applyFont="1" applyFill="1" applyBorder="1" applyAlignment="1">
      <alignment horizontal="left"/>
    </xf>
    <xf numFmtId="0" fontId="20" fillId="13" borderId="17" xfId="4" applyFont="1" applyFill="1" applyBorder="1" applyAlignment="1">
      <alignment horizontal="left"/>
    </xf>
    <xf numFmtId="195" fontId="74" fillId="78" borderId="303" xfId="4" applyNumberFormat="1" applyFont="1" applyFill="1" applyBorder="1" applyAlignment="1">
      <alignment horizontal="center" vertical="center"/>
    </xf>
    <xf numFmtId="195" fontId="74" fillId="78" borderId="304" xfId="4" applyNumberFormat="1" applyFont="1" applyFill="1" applyBorder="1" applyAlignment="1">
      <alignment horizontal="center" vertical="center"/>
    </xf>
    <xf numFmtId="0" fontId="118" fillId="94" borderId="217" xfId="4" applyFont="1" applyFill="1" applyBorder="1" applyAlignment="1">
      <alignment horizontal="center" vertical="center"/>
    </xf>
    <xf numFmtId="0" fontId="118" fillId="94" borderId="216" xfId="4" applyFont="1" applyFill="1" applyBorder="1" applyAlignment="1">
      <alignment horizontal="center" vertical="center"/>
    </xf>
    <xf numFmtId="0" fontId="110" fillId="77" borderId="40" xfId="4" applyFont="1" applyFill="1" applyBorder="1" applyAlignment="1">
      <alignment horizontal="left" wrapText="1"/>
    </xf>
    <xf numFmtId="0" fontId="0" fillId="0" borderId="306" xfId="0" applyBorder="1" applyAlignment="1">
      <alignment horizontal="left"/>
    </xf>
    <xf numFmtId="0" fontId="124" fillId="86" borderId="229" xfId="244" applyFont="1" applyFill="1" applyBorder="1" applyAlignment="1">
      <alignment horizontal="left" vertical="top" wrapText="1" readingOrder="1"/>
    </xf>
    <xf numFmtId="0" fontId="124" fillId="86" borderId="228" xfId="244" applyFont="1" applyFill="1" applyBorder="1" applyAlignment="1">
      <alignment horizontal="left" vertical="top" wrapText="1" readingOrder="1"/>
    </xf>
    <xf numFmtId="0" fontId="124" fillId="86" borderId="227" xfId="244" applyFont="1" applyFill="1" applyBorder="1" applyAlignment="1">
      <alignment horizontal="left" vertical="top" wrapText="1" readingOrder="1"/>
    </xf>
    <xf numFmtId="0" fontId="124" fillId="85" borderId="225" xfId="244" applyFont="1" applyFill="1" applyBorder="1" applyAlignment="1">
      <alignment vertical="center" wrapText="1" readingOrder="1"/>
    </xf>
    <xf numFmtId="0" fontId="124" fillId="85" borderId="224" xfId="244" applyFont="1" applyFill="1" applyBorder="1" applyAlignment="1">
      <alignment vertical="center" wrapText="1" readingOrder="1"/>
    </xf>
    <xf numFmtId="0" fontId="124" fillId="85" borderId="223" xfId="244" applyFont="1" applyFill="1" applyBorder="1" applyAlignment="1">
      <alignment vertical="center" wrapText="1" readingOrder="1"/>
    </xf>
    <xf numFmtId="0" fontId="14" fillId="0" borderId="0" xfId="244" applyFont="1" applyAlignment="1">
      <alignment horizontal="left" vertical="top" wrapText="1"/>
    </xf>
    <xf numFmtId="0" fontId="7" fillId="0" borderId="0" xfId="244" applyAlignment="1">
      <alignment horizontal="left" vertical="top" wrapText="1"/>
    </xf>
    <xf numFmtId="0" fontId="133" fillId="87" borderId="233" xfId="244" applyFont="1" applyFill="1" applyBorder="1" applyAlignment="1">
      <alignment horizontal="center" vertical="center" wrapText="1" readingOrder="1"/>
    </xf>
    <xf numFmtId="0" fontId="133" fillId="87" borderId="232" xfId="244" applyFont="1" applyFill="1" applyBorder="1" applyAlignment="1">
      <alignment horizontal="center" vertical="center" wrapText="1" readingOrder="1"/>
    </xf>
    <xf numFmtId="0" fontId="133" fillId="87" borderId="231" xfId="244" applyFont="1" applyFill="1" applyBorder="1" applyAlignment="1">
      <alignment horizontal="center" vertical="center" wrapText="1" readingOrder="1"/>
    </xf>
    <xf numFmtId="0" fontId="14" fillId="0" borderId="106" xfId="257" applyFont="1" applyFill="1" applyBorder="1" applyAlignment="1">
      <alignment horizontal="center" vertical="center"/>
    </xf>
    <xf numFmtId="0" fontId="14" fillId="0" borderId="43" xfId="257" applyFont="1" applyFill="1" applyBorder="1" applyAlignment="1">
      <alignment horizontal="center" vertical="center"/>
    </xf>
    <xf numFmtId="0" fontId="14" fillId="0" borderId="17" xfId="257" applyFont="1" applyFill="1" applyBorder="1" applyAlignment="1">
      <alignment horizontal="center" vertical="center"/>
    </xf>
    <xf numFmtId="183" fontId="14" fillId="0" borderId="55" xfId="0" applyNumberFormat="1" applyFont="1" applyBorder="1" applyAlignment="1">
      <alignment vertical="center" wrapText="1"/>
    </xf>
    <xf numFmtId="183" fontId="14" fillId="0" borderId="60" xfId="0" applyNumberFormat="1" applyFont="1" applyBorder="1" applyAlignment="1">
      <alignment vertical="center" wrapText="1"/>
    </xf>
    <xf numFmtId="0" fontId="14" fillId="74" borderId="106" xfId="0" applyFont="1" applyFill="1" applyBorder="1" applyAlignment="1">
      <alignment horizontal="center"/>
    </xf>
    <xf numFmtId="0" fontId="14" fillId="74" borderId="17" xfId="0" applyFont="1" applyFill="1" applyBorder="1" applyAlignment="1">
      <alignment horizontal="center"/>
    </xf>
    <xf numFmtId="0" fontId="14" fillId="74" borderId="43" xfId="0" applyFont="1" applyFill="1" applyBorder="1" applyAlignment="1">
      <alignment horizontal="center"/>
    </xf>
  </cellXfs>
  <cellStyles count="324">
    <cellStyle name="_Yanlian-CRS-CMMI ML4-SERVICE PLAN_20080408" xfId="5"/>
    <cellStyle name="_Yanlian-CRS-CMMI ML4-SERVICE PLAN_20080408 2" xfId="6"/>
    <cellStyle name="_项目度量管理模版323" xfId="7"/>
    <cellStyle name="_项目度量管理模版323 2" xfId="8"/>
    <cellStyle name="_项目预算模板(成本)" xfId="9"/>
    <cellStyle name="_项目预算模板(成本) 2" xfId="10"/>
    <cellStyle name="0,0_x000d__x000a_NA_x000d__x000a_" xfId="11"/>
    <cellStyle name="0,0_x000d__x000a_NA_x000d__x000a_ 2" xfId="12"/>
    <cellStyle name="20% - Accent1" xfId="13"/>
    <cellStyle name="20% - Accent1 2" xfId="14"/>
    <cellStyle name="20% - Accent2" xfId="15"/>
    <cellStyle name="20% - Accent2 2" xfId="16"/>
    <cellStyle name="20% - Accent3" xfId="17"/>
    <cellStyle name="20% - Accent3 2" xfId="18"/>
    <cellStyle name="20% - Accent4" xfId="19"/>
    <cellStyle name="20% - Accent4 2" xfId="20"/>
    <cellStyle name="20% - Accent5" xfId="21"/>
    <cellStyle name="20% - Accent5 2" xfId="22"/>
    <cellStyle name="20% - Accent6" xfId="23"/>
    <cellStyle name="20% - Accent6 2" xfId="24"/>
    <cellStyle name="20% - 强调文字颜色 1 2" xfId="25"/>
    <cellStyle name="20% - 强调文字颜色 2 2" xfId="26"/>
    <cellStyle name="20% - 强调文字颜色 3 2" xfId="27"/>
    <cellStyle name="20% - 强调文字颜色 4 2" xfId="28"/>
    <cellStyle name="20% - 强调文字颜色 5 2" xfId="29"/>
    <cellStyle name="20% - 强调文字颜色 6 2" xfId="30"/>
    <cellStyle name="40% - Accent1" xfId="31"/>
    <cellStyle name="40% - Accent1 2" xfId="32"/>
    <cellStyle name="40% - Accent2" xfId="33"/>
    <cellStyle name="40% - Accent2 2" xfId="34"/>
    <cellStyle name="40% - Accent3" xfId="35"/>
    <cellStyle name="40% - Accent3 2" xfId="36"/>
    <cellStyle name="40% - Accent4" xfId="37"/>
    <cellStyle name="40% - Accent4 2" xfId="38"/>
    <cellStyle name="40% - Accent5" xfId="39"/>
    <cellStyle name="40% - Accent5 2" xfId="40"/>
    <cellStyle name="40% - Accent6" xfId="41"/>
    <cellStyle name="40% - Accent6 2" xfId="42"/>
    <cellStyle name="40% - 强调文字颜色 1 2" xfId="43"/>
    <cellStyle name="40% - 强调文字颜色 2 2" xfId="44"/>
    <cellStyle name="40% - 强调文字颜色 3 2" xfId="45"/>
    <cellStyle name="40% - 强调文字颜色 4 2" xfId="46"/>
    <cellStyle name="40% - 强调文字颜色 5 2" xfId="47"/>
    <cellStyle name="40% - 强调文字颜色 6 2" xfId="48"/>
    <cellStyle name="60% - Accent1" xfId="49"/>
    <cellStyle name="60% - Accent1 2" xfId="50"/>
    <cellStyle name="60% - Accent2" xfId="51"/>
    <cellStyle name="60% - Accent2 2" xfId="52"/>
    <cellStyle name="60% - Accent3" xfId="53"/>
    <cellStyle name="60% - Accent3 2" xfId="54"/>
    <cellStyle name="60% - Accent4" xfId="55"/>
    <cellStyle name="60% - Accent4 2" xfId="56"/>
    <cellStyle name="60% - Accent5" xfId="57"/>
    <cellStyle name="60% - Accent5 2" xfId="58"/>
    <cellStyle name="60% - Accent6" xfId="59"/>
    <cellStyle name="60% - Accent6 2" xfId="60"/>
    <cellStyle name="60% - 强调文字颜色 1 2" xfId="61"/>
    <cellStyle name="60% - 强调文字颜色 2 2" xfId="62"/>
    <cellStyle name="60% - 强调文字颜色 3 2" xfId="63"/>
    <cellStyle name="60% - 强调文字颜色 4 2" xfId="64"/>
    <cellStyle name="60% - 强调文字颜色 5 2" xfId="65"/>
    <cellStyle name="60% - 强调文字颜色 6 2" xfId="66"/>
    <cellStyle name="Accent1" xfId="67"/>
    <cellStyle name="Accent1 - 20%" xfId="68"/>
    <cellStyle name="Accent1 - 20% 2" xfId="69"/>
    <cellStyle name="Accent1 - 40%" xfId="70"/>
    <cellStyle name="Accent1 - 40% 2" xfId="71"/>
    <cellStyle name="Accent1 - 60%" xfId="72"/>
    <cellStyle name="Accent1 - 60% 2" xfId="73"/>
    <cellStyle name="Accent1 2" xfId="74"/>
    <cellStyle name="Accent2" xfId="3"/>
    <cellStyle name="Accent2 - 20%" xfId="75"/>
    <cellStyle name="Accent2 - 20% 2" xfId="76"/>
    <cellStyle name="Accent2 - 40%" xfId="77"/>
    <cellStyle name="Accent2 - 40% 2" xfId="78"/>
    <cellStyle name="Accent2 - 60%" xfId="79"/>
    <cellStyle name="Accent2 - 60% 2" xfId="80"/>
    <cellStyle name="Accent2 2" xfId="81"/>
    <cellStyle name="Accent2 3" xfId="82"/>
    <cellStyle name="Accent3" xfId="83"/>
    <cellStyle name="Accent3 - 20%" xfId="84"/>
    <cellStyle name="Accent3 - 20% 2" xfId="85"/>
    <cellStyle name="Accent3 - 40%" xfId="86"/>
    <cellStyle name="Accent3 - 40% 2" xfId="87"/>
    <cellStyle name="Accent3 - 60%" xfId="88"/>
    <cellStyle name="Accent3 - 60% 2" xfId="89"/>
    <cellStyle name="Accent3 2" xfId="90"/>
    <cellStyle name="Accent4" xfId="91"/>
    <cellStyle name="Accent4 - 20%" xfId="92"/>
    <cellStyle name="Accent4 - 20% 2" xfId="93"/>
    <cellStyle name="Accent4 - 40%" xfId="94"/>
    <cellStyle name="Accent4 - 40% 2" xfId="95"/>
    <cellStyle name="Accent4 - 60%" xfId="96"/>
    <cellStyle name="Accent4 - 60% 2" xfId="97"/>
    <cellStyle name="Accent4 2" xfId="98"/>
    <cellStyle name="Accent5" xfId="99"/>
    <cellStyle name="Accent5 - 20%" xfId="100"/>
    <cellStyle name="Accent5 - 20% 2" xfId="101"/>
    <cellStyle name="Accent5 - 40%" xfId="102"/>
    <cellStyle name="Accent5 - 40% 2" xfId="103"/>
    <cellStyle name="Accent5 - 60%" xfId="104"/>
    <cellStyle name="Accent5 - 60% 2" xfId="105"/>
    <cellStyle name="Accent5 2" xfId="106"/>
    <cellStyle name="Accent6" xfId="107"/>
    <cellStyle name="Accent6 - 20%" xfId="108"/>
    <cellStyle name="Accent6 - 20% 2" xfId="109"/>
    <cellStyle name="Accent6 - 40%" xfId="110"/>
    <cellStyle name="Accent6 - 40% 2" xfId="111"/>
    <cellStyle name="Accent6 - 60%" xfId="112"/>
    <cellStyle name="Accent6 - 60% 2" xfId="113"/>
    <cellStyle name="Accent6 2" xfId="114"/>
    <cellStyle name="Bad" xfId="115"/>
    <cellStyle name="Bad 2" xfId="116"/>
    <cellStyle name="Calc Currency (0)" xfId="117"/>
    <cellStyle name="Calc Currency (0) 2" xfId="118"/>
    <cellStyle name="Calculation" xfId="119"/>
    <cellStyle name="Calculation 2" xfId="120"/>
    <cellStyle name="Check Cell" xfId="121"/>
    <cellStyle name="Check Cell 2" xfId="122"/>
    <cellStyle name="Emphasis 1" xfId="123"/>
    <cellStyle name="Emphasis 1 2" xfId="124"/>
    <cellStyle name="Emphasis 2" xfId="125"/>
    <cellStyle name="Emphasis 2 2" xfId="126"/>
    <cellStyle name="Emphasis 3" xfId="127"/>
    <cellStyle name="Emphasis 3 2" xfId="128"/>
    <cellStyle name="Explanatory Text" xfId="129"/>
    <cellStyle name="Explanatory Text 2" xfId="130"/>
    <cellStyle name="Good" xfId="131"/>
    <cellStyle name="Good 2" xfId="132"/>
    <cellStyle name="Grey" xfId="133"/>
    <cellStyle name="Grey 2" xfId="134"/>
    <cellStyle name="Header1" xfId="135"/>
    <cellStyle name="Header2" xfId="136"/>
    <cellStyle name="Heading 1" xfId="137"/>
    <cellStyle name="Heading 1 2" xfId="138"/>
    <cellStyle name="Heading 2" xfId="139"/>
    <cellStyle name="Heading 2 2" xfId="140"/>
    <cellStyle name="Heading 3" xfId="141"/>
    <cellStyle name="Heading 3 2" xfId="142"/>
    <cellStyle name="Heading 4" xfId="143"/>
    <cellStyle name="Heading 4 2" xfId="144"/>
    <cellStyle name="Input" xfId="145"/>
    <cellStyle name="Input [yellow]" xfId="146"/>
    <cellStyle name="Input [yellow] 2" xfId="147"/>
    <cellStyle name="Input 2" xfId="148"/>
    <cellStyle name="Input_2011年佰钧成组织度量数据表-提交" xfId="149"/>
    <cellStyle name="Linked Cell" xfId="150"/>
    <cellStyle name="Linked Cell 2" xfId="151"/>
    <cellStyle name="LISAM" xfId="152"/>
    <cellStyle name="LISAM 2" xfId="153"/>
    <cellStyle name="Milliers [0]_1" xfId="154"/>
    <cellStyle name="Milliers_1" xfId="155"/>
    <cellStyle name="Mon閠aire [0]_1OP" xfId="156"/>
    <cellStyle name="Mon閠aire_10]" xfId="157"/>
    <cellStyle name="Neutral" xfId="158"/>
    <cellStyle name="Neutral 2" xfId="159"/>
    <cellStyle name="no dec" xfId="160"/>
    <cellStyle name="no dec 2" xfId="161"/>
    <cellStyle name="Normal - Style1" xfId="162"/>
    <cellStyle name="Normal - Style1 2" xfId="163"/>
    <cellStyle name="Normal_#18-Internet" xfId="164"/>
    <cellStyle name="Note" xfId="165"/>
    <cellStyle name="Note 2" xfId="166"/>
    <cellStyle name="Output" xfId="167"/>
    <cellStyle name="Output 2" xfId="168"/>
    <cellStyle name="Percent [2]" xfId="169"/>
    <cellStyle name="Percent [2] 2" xfId="170"/>
    <cellStyle name="Sheet Title" xfId="171"/>
    <cellStyle name="Sheet Title 2" xfId="172"/>
    <cellStyle name="style" xfId="173"/>
    <cellStyle name="Style 1" xfId="174"/>
    <cellStyle name="Style 1 2" xfId="175"/>
    <cellStyle name="style 2" xfId="176"/>
    <cellStyle name="style1" xfId="177"/>
    <cellStyle name="style2" xfId="178"/>
    <cellStyle name="Title" xfId="179"/>
    <cellStyle name="Title 2" xfId="180"/>
    <cellStyle name="Total" xfId="181"/>
    <cellStyle name="Total 2" xfId="182"/>
    <cellStyle name="Warning Text" xfId="183"/>
    <cellStyle name="Warning Text 2" xfId="184"/>
    <cellStyle name="ハイパーリンク" xfId="185"/>
    <cellStyle name="ハイパーリンク 2" xfId="186"/>
    <cellStyle name="百分比 2" xfId="187"/>
    <cellStyle name="百分比 2 2" xfId="188"/>
    <cellStyle name="百分比 2 2 2" xfId="189"/>
    <cellStyle name="百分比 2 3" xfId="190"/>
    <cellStyle name="百分比 3" xfId="191"/>
    <cellStyle name="百分比 4" xfId="192"/>
    <cellStyle name="百分比 5" xfId="193"/>
    <cellStyle name="版本" xfId="194"/>
    <cellStyle name="捠壿 [0.00]_1997 Turns杮" xfId="195"/>
    <cellStyle name="捠壿_1997 Turns7 Tu" xfId="196"/>
    <cellStyle name="标题 1 1" xfId="197"/>
    <cellStyle name="标题 1 2" xfId="198"/>
    <cellStyle name="标题 2 1" xfId="199"/>
    <cellStyle name="标题 2 2" xfId="200"/>
    <cellStyle name="标题 3 2" xfId="201"/>
    <cellStyle name="标题 4 2" xfId="202"/>
    <cellStyle name="标题 5" xfId="203"/>
    <cellStyle name="標準_22_画面設計書" xfId="204"/>
    <cellStyle name="表示済みのハイパーリンク" xfId="205"/>
    <cellStyle name="表示済みのハイパーリンク 2" xfId="206"/>
    <cellStyle name="差 2" xfId="207"/>
    <cellStyle name="差_CIENET-CRS-CMMI ML5-SERVICE PLAN_20071027" xfId="208"/>
    <cellStyle name="差_CIENET-CRS-CMMI ML5-SERVICE PLAN_20071027 2" xfId="209"/>
    <cellStyle name="差_CIENET-CRS-CMMI ML5-SERVICE PLAN_20071209" xfId="210"/>
    <cellStyle name="差_CIENET-CRS-CMMI ML5-SERVICE PLAN_20071209 2" xfId="211"/>
    <cellStyle name="差_MySoft-CRS-CMMI ML3-ServicePlan-20080118" xfId="212"/>
    <cellStyle name="差_MySoft-CRS-CMMI ML3-ServicePlan-20080118 2" xfId="213"/>
    <cellStyle name="差_NEWYULONG-CRS-CMMI ML5-SERVICE PLAN_20071125" xfId="214"/>
    <cellStyle name="差_NEWYULONG-CRS-CMMI ML5-SERVICE PLAN_20071125 2" xfId="215"/>
    <cellStyle name="差_PROJ-04-T02C 项目里程碑报告" xfId="216"/>
    <cellStyle name="差_PROJ-04-T02C 项目里程碑报告 2" xfId="217"/>
    <cellStyle name="差_REF-TEMP-PMC-项目周报" xfId="218"/>
    <cellStyle name="差_REF-TEMP-PMC-项目周报 2" xfId="219"/>
    <cellStyle name="差_YD_OPM_STANDARD_OSSP过程文档体系文件编写规范_样式" xfId="220"/>
    <cellStyle name="差_YD_OPM_STANDARD_OSSP过程文档体系文件编写规范_样式 2" xfId="221"/>
    <cellStyle name="差_决策分析" xfId="222"/>
    <cellStyle name="差_决策分析 2" xfId="223"/>
    <cellStyle name="常规" xfId="0" builtinId="0"/>
    <cellStyle name="常规 10" xfId="224"/>
    <cellStyle name="常规 11" xfId="225"/>
    <cellStyle name="常规 12" xfId="226"/>
    <cellStyle name="常规 12 2" xfId="227"/>
    <cellStyle name="常规 13" xfId="228"/>
    <cellStyle name="常规 13 2" xfId="229"/>
    <cellStyle name="常规 14" xfId="230"/>
    <cellStyle name="常规 14 2" xfId="231"/>
    <cellStyle name="常规 15" xfId="232"/>
    <cellStyle name="常规 16" xfId="4"/>
    <cellStyle name="常规 2" xfId="233"/>
    <cellStyle name="常规 2 2" xfId="234"/>
    <cellStyle name="常规 2 2 12" xfId="235"/>
    <cellStyle name="常规 2 2 2" xfId="236"/>
    <cellStyle name="常规 2 3" xfId="237"/>
    <cellStyle name="常规 2 3 2" xfId="238"/>
    <cellStyle name="常规 2 4" xfId="239"/>
    <cellStyle name="常规 2 4 2" xfId="240"/>
    <cellStyle name="常规 2 5" xfId="241"/>
    <cellStyle name="常规 2 6" xfId="1"/>
    <cellStyle name="常规 2_ODC属性分类和评估" xfId="242"/>
    <cellStyle name="常规 3" xfId="243"/>
    <cellStyle name="常规 3 2" xfId="244"/>
    <cellStyle name="常规 3 2 2" xfId="245"/>
    <cellStyle name="常规 3 3" xfId="246"/>
    <cellStyle name="常规 3 4" xfId="247"/>
    <cellStyle name="常规 3_2011年佰钧成组织度量数据表-提交" xfId="248"/>
    <cellStyle name="常规 4" xfId="249"/>
    <cellStyle name="常规 4 2" xfId="250"/>
    <cellStyle name="常规 4_测试和验收流程" xfId="251"/>
    <cellStyle name="常规 5" xfId="252"/>
    <cellStyle name="常规 6" xfId="253"/>
    <cellStyle name="常规 7" xfId="254"/>
    <cellStyle name="常规 8" xfId="255"/>
    <cellStyle name="常规 9" xfId="256"/>
    <cellStyle name="常规_PIM003 AMS项目度量数据表" xfId="257"/>
    <cellStyle name="常规_PIM003 AMS项目度量数据表 3" xfId="2"/>
    <cellStyle name="常规_PM_PR_20020401" xfId="320"/>
    <cellStyle name="常规_sst3A1" xfId="323"/>
    <cellStyle name="常规_度量数据收集参考列表-V0.1" xfId="321"/>
    <cellStyle name="常规_原始数据 2" xfId="322"/>
    <cellStyle name="超链接" xfId="319" builtinId="8"/>
    <cellStyle name="超链接 2" xfId="258"/>
    <cellStyle name="超链接 3" xfId="259"/>
    <cellStyle name="超链接 4" xfId="260"/>
    <cellStyle name="超链接 5" xfId="261"/>
    <cellStyle name="超链接 6" xfId="262"/>
    <cellStyle name="超链接 7" xfId="263"/>
    <cellStyle name="超链接 8" xfId="264"/>
    <cellStyle name="超链接 9" xfId="265"/>
    <cellStyle name="好 2" xfId="266"/>
    <cellStyle name="好_CIENET-CRS-CMMI ML5-SERVICE PLAN_20071027" xfId="267"/>
    <cellStyle name="好_CIENET-CRS-CMMI ML5-SERVICE PLAN_20071027 2" xfId="268"/>
    <cellStyle name="好_CIENET-CRS-CMMI ML5-SERVICE PLAN_20071209" xfId="269"/>
    <cellStyle name="好_CIENET-CRS-CMMI ML5-SERVICE PLAN_20071209 2" xfId="270"/>
    <cellStyle name="好_MySoft-CRS-CMMI ML3-ServicePlan-20080118" xfId="271"/>
    <cellStyle name="好_MySoft-CRS-CMMI ML3-ServicePlan-20080118 2" xfId="272"/>
    <cellStyle name="好_NEWYULONG-CRS-CMMI ML5-SERVICE PLAN_20071125" xfId="273"/>
    <cellStyle name="好_NEWYULONG-CRS-CMMI ML5-SERVICE PLAN_20071125 2" xfId="274"/>
    <cellStyle name="好_PROJ-04-T02C 项目里程碑报告" xfId="275"/>
    <cellStyle name="好_PROJ-04-T02C 项目里程碑报告 2" xfId="276"/>
    <cellStyle name="好_REF-TEMP-PMC-项目周报" xfId="277"/>
    <cellStyle name="好_REF-TEMP-PMC-项目周报 2" xfId="278"/>
    <cellStyle name="好_YD_OPM_STANDARD_OSSP过程文档体系文件编写规范_样式" xfId="279"/>
    <cellStyle name="好_YD_OPM_STANDARD_OSSP过程文档体系文件编写规范_样式 2" xfId="280"/>
    <cellStyle name="好_决策分析" xfId="281"/>
    <cellStyle name="好_决策分析 2" xfId="282"/>
    <cellStyle name="汇总 2" xfId="283"/>
    <cellStyle name="计算 2" xfId="284"/>
    <cellStyle name="检查单元格 2" xfId="285"/>
    <cellStyle name="解释性文本 2" xfId="286"/>
    <cellStyle name="禁止写入" xfId="287"/>
    <cellStyle name="警告文本 2" xfId="288"/>
    <cellStyle name="链接单元格 2" xfId="289"/>
    <cellStyle name="普通_expenses_AR-ITD (2)" xfId="290"/>
    <cellStyle name="强调文字颜色 1 2" xfId="291"/>
    <cellStyle name="强调文字颜色 2 2" xfId="292"/>
    <cellStyle name="强调文字颜色 3 2" xfId="293"/>
    <cellStyle name="强调文字颜色 4 2" xfId="294"/>
    <cellStyle name="强调文字颜色 5 2" xfId="295"/>
    <cellStyle name="强调文字颜色 6 2" xfId="296"/>
    <cellStyle name="日期" xfId="297"/>
    <cellStyle name="适中 2" xfId="298"/>
    <cellStyle name="输出 2" xfId="299"/>
    <cellStyle name="输入 2" xfId="300"/>
    <cellStyle name="填充色1" xfId="301"/>
    <cellStyle name="填充色2" xfId="302"/>
    <cellStyle name="样式 1" xfId="303"/>
    <cellStyle name="样式 1 2" xfId="304"/>
    <cellStyle name="一般_CPK" xfId="305"/>
    <cellStyle name="昗弨_1997 Turns7 Tu" xfId="306"/>
    <cellStyle name="正文" xfId="307"/>
    <cellStyle name="寘嬫愗傝 [0.00]_1997 Turnsyns Wins" xfId="308"/>
    <cellStyle name="寘嬫愗傝_1997 Turns7 Turnsy" xfId="309"/>
    <cellStyle name="注释 2" xfId="310"/>
    <cellStyle name="注释 2 2" xfId="311"/>
    <cellStyle name="注释 3" xfId="312"/>
    <cellStyle name="自动填写" xfId="313"/>
    <cellStyle name="콤마 [0]_laroux" xfId="314"/>
    <cellStyle name="콤마_laroux" xfId="315"/>
    <cellStyle name="통화 [0]_laroux" xfId="316"/>
    <cellStyle name="통화_laroux" xfId="317"/>
    <cellStyle name="표준_AP" xfId="318"/>
  </cellStyles>
  <dxfs count="43">
    <dxf>
      <fill>
        <patternFill>
          <bgColor theme="5" tint="0.79998168889431442"/>
        </patternFill>
      </fill>
    </dxf>
    <dxf>
      <fill>
        <patternFill>
          <bgColor theme="6" tint="0.59996337778862885"/>
        </patternFill>
      </fill>
    </dxf>
    <dxf>
      <fill>
        <patternFill>
          <bgColor theme="5" tint="0.79998168889431442"/>
        </patternFill>
      </fill>
    </dxf>
    <dxf>
      <fill>
        <patternFill>
          <bgColor theme="6" tint="0.59996337778862885"/>
        </patternFill>
      </fill>
    </dxf>
    <dxf>
      <fill>
        <patternFill>
          <bgColor theme="6" tint="0.59996337778862885"/>
        </patternFill>
      </fill>
    </dxf>
    <dxf>
      <fill>
        <patternFill>
          <bgColor theme="5" tint="0.79998168889431442"/>
        </patternFill>
      </fill>
    </dxf>
    <dxf>
      <fill>
        <patternFill>
          <bgColor theme="6" tint="0.59996337778862885"/>
        </patternFill>
      </fill>
    </dxf>
    <dxf>
      <fill>
        <patternFill>
          <bgColor theme="6" tint="0.59996337778862885"/>
        </patternFill>
      </fill>
    </dxf>
    <dxf>
      <fill>
        <patternFill>
          <bgColor theme="5" tint="0.79998168889431442"/>
        </patternFill>
      </fill>
    </dxf>
    <dxf>
      <fill>
        <patternFill>
          <bgColor theme="5" tint="0.79998168889431442"/>
        </patternFill>
      </fill>
    </dxf>
    <dxf>
      <fill>
        <patternFill>
          <bgColor theme="6" tint="0.59996337778862885"/>
        </patternFill>
      </fill>
    </dxf>
    <dxf>
      <fill>
        <patternFill>
          <bgColor theme="5" tint="0.79998168889431442"/>
        </patternFill>
      </fill>
    </dxf>
    <dxf>
      <fill>
        <patternFill>
          <bgColor theme="6" tint="0.59996337778862885"/>
        </patternFill>
      </fill>
    </dxf>
    <dxf>
      <fill>
        <patternFill>
          <bgColor theme="5" tint="0.59996337778862885"/>
        </patternFill>
      </fill>
    </dxf>
    <dxf>
      <fill>
        <patternFill>
          <bgColor theme="5" tint="0.59996337778862885"/>
        </patternFill>
      </fill>
    </dxf>
    <dxf>
      <fill>
        <patternFill>
          <bgColor theme="6" tint="0.39994506668294322"/>
        </patternFill>
      </fill>
    </dxf>
    <dxf>
      <fill>
        <patternFill>
          <bgColor theme="6" tint="0.59996337778862885"/>
        </patternFill>
      </fill>
    </dxf>
    <dxf>
      <fill>
        <patternFill>
          <bgColor theme="5" tint="0.79998168889431442"/>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s>
  <tableStyles count="0" defaultTableStyle="TableStyleMedium2" defaultPivotStyle="PivotStyleMedium9"/>
  <colors>
    <mruColors>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4.xml.rels><?xml version="1.0" encoding="UTF-8" standalone="yes"?>
<Relationships xmlns="http://schemas.openxmlformats.org/package/2006/relationships"><Relationship Id="rId1" Type="http://schemas.openxmlformats.org/officeDocument/2006/relationships/image" Target="../media/image2.jpeg"/></Relationships>
</file>

<file path=xl/charts/_rels/chart6.xml.rels><?xml version="1.0" encoding="UTF-8" standalone="yes"?>
<Relationships xmlns="http://schemas.openxmlformats.org/package/2006/relationships"><Relationship Id="rId1" Type="http://schemas.openxmlformats.org/officeDocument/2006/relationships/image" Target="../media/image2.jpeg"/></Relationships>
</file>

<file path=xl/charts/_rels/chart7.xml.rels><?xml version="1.0" encoding="UTF-8" standalone="yes"?>
<Relationships xmlns="http://schemas.openxmlformats.org/package/2006/relationships"><Relationship Id="rId1" Type="http://schemas.openxmlformats.org/officeDocument/2006/relationships/image" Target="../media/image2.jpeg"/></Relationships>
</file>

<file path=xl/charts/_rels/chart8.xml.rels><?xml version="1.0" encoding="UTF-8" standalone="yes"?>
<Relationships xmlns="http://schemas.openxmlformats.org/package/2006/relationships"><Relationship Id="rId1" Type="http://schemas.openxmlformats.org/officeDocument/2006/relationships/image" Target="../media/image2.jpeg"/></Relationships>
</file>

<file path=xl/charts/_rels/chart9.xml.rels><?xml version="1.0" encoding="UTF-8" standalone="yes"?>
<Relationships xmlns="http://schemas.openxmlformats.org/package/2006/relationships"><Relationship Id="rId1" Type="http://schemas.openxmlformats.org/officeDocument/2006/relationships/image" Target="../media/image2.jpeg"/></Relationships>
</file>

<file path=xl/charts/_rels/chart10.xml.rels><?xml version="1.0" encoding="UTF-8" standalone="yes"?>
<Relationships xmlns="http://schemas.openxmlformats.org/package/2006/relationships"><Relationship Id="rId1" Type="http://schemas.openxmlformats.org/officeDocument/2006/relationships/image" Target="../media/image2.jpeg"/></Relationships>
</file>

<file path=xl/charts/_rels/chart11.xml.rels><?xml version="1.0" encoding="UTF-8" standalone="yes"?>
<Relationships xmlns="http://schemas.openxmlformats.org/package/2006/relationships"><Relationship Id="rId1" Type="http://schemas.openxmlformats.org/officeDocument/2006/relationships/image" Target="../media/image2.jpeg"/></Relationships>
</file>

<file path=xl/charts/_rels/chart15.xml.rels><?xml version="1.0" encoding="UTF-8" standalone="yes"?>
<Relationships xmlns="http://schemas.openxmlformats.org/package/2006/relationships"><Relationship Id="rId1" Type="http://schemas.openxmlformats.org/officeDocument/2006/relationships/image" Target="../media/image2.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需求!$N$10:$N$14</c:f>
              <c:strCache>
                <c:ptCount val="5"/>
                <c:pt idx="0">
                  <c:v>需求阶段</c:v>
                </c:pt>
                <c:pt idx="1">
                  <c:v>设计阶段</c:v>
                </c:pt>
                <c:pt idx="2">
                  <c:v>开发阶段</c:v>
                </c:pt>
                <c:pt idx="3">
                  <c:v>测试阶段</c:v>
                </c:pt>
                <c:pt idx="4">
                  <c:v>验收阶段</c:v>
                </c:pt>
              </c:strCache>
            </c:strRef>
          </c:cat>
          <c:val>
            <c:numRef>
              <c:f>需求!$O$10:$O$14</c:f>
              <c:numCache>
                <c:formatCode>General</c:formatCode>
                <c:ptCount val="5"/>
                <c:pt idx="0">
                  <c:v>1</c:v>
                </c:pt>
                <c:pt idx="1">
                  <c:v>0.96294252873563213</c:v>
                </c:pt>
                <c:pt idx="2">
                  <c:v>0.95925228617536307</c:v>
                </c:pt>
                <c:pt idx="3">
                  <c:v>1</c:v>
                </c:pt>
                <c:pt idx="4">
                  <c:v>1</c:v>
                </c:pt>
              </c:numCache>
            </c:numRef>
          </c:val>
        </c:ser>
        <c:dLbls>
          <c:showLegendKey val="0"/>
          <c:showVal val="0"/>
          <c:showCatName val="0"/>
          <c:showSerName val="0"/>
          <c:showPercent val="0"/>
          <c:showBubbleSize val="0"/>
        </c:dLbls>
        <c:gapWidth val="150"/>
        <c:axId val="182648832"/>
        <c:axId val="270926976"/>
      </c:barChart>
      <c:catAx>
        <c:axId val="182648832"/>
        <c:scaling>
          <c:orientation val="minMax"/>
        </c:scaling>
        <c:delete val="0"/>
        <c:axPos val="b"/>
        <c:numFmt formatCode="General" sourceLinked="1"/>
        <c:majorTickMark val="none"/>
        <c:minorTickMark val="none"/>
        <c:tickLblPos val="nextTo"/>
        <c:crossAx val="270926976"/>
        <c:crosses val="autoZero"/>
        <c:auto val="1"/>
        <c:lblAlgn val="ctr"/>
        <c:lblOffset val="100"/>
        <c:noMultiLvlLbl val="0"/>
      </c:catAx>
      <c:valAx>
        <c:axId val="270926976"/>
        <c:scaling>
          <c:orientation val="minMax"/>
        </c:scaling>
        <c:delete val="0"/>
        <c:axPos val="l"/>
        <c:majorGridlines/>
        <c:numFmt formatCode="General" sourceLinked="1"/>
        <c:majorTickMark val="none"/>
        <c:minorTickMark val="none"/>
        <c:tickLblPos val="nextTo"/>
        <c:crossAx val="1826488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1"/>
            <c:bubble3D val="0"/>
          </c:dPt>
          <c:dPt>
            <c:idx val="4"/>
            <c:invertIfNegative val="0"/>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需求!$N$22:$N$26</c:f>
              <c:strCache>
                <c:ptCount val="5"/>
                <c:pt idx="0">
                  <c:v>需求阶段</c:v>
                </c:pt>
                <c:pt idx="1">
                  <c:v>设计阶段</c:v>
                </c:pt>
                <c:pt idx="2">
                  <c:v>开发阶段</c:v>
                </c:pt>
                <c:pt idx="3">
                  <c:v>测试阶段</c:v>
                </c:pt>
                <c:pt idx="4">
                  <c:v>验收阶段</c:v>
                </c:pt>
              </c:strCache>
            </c:strRef>
          </c:cat>
          <c:val>
            <c:numRef>
              <c:f>需求!$O$22:$O$26</c:f>
              <c:numCache>
                <c:formatCode>General</c:formatCode>
                <c:ptCount val="5"/>
                <c:pt idx="0">
                  <c:v>1</c:v>
                </c:pt>
                <c:pt idx="1">
                  <c:v>0.95470753512132822</c:v>
                </c:pt>
                <c:pt idx="2">
                  <c:v>0.90675990675990681</c:v>
                </c:pt>
                <c:pt idx="3">
                  <c:v>1</c:v>
                </c:pt>
                <c:pt idx="4">
                  <c:v>1</c:v>
                </c:pt>
              </c:numCache>
            </c:numRef>
          </c:val>
        </c:ser>
        <c:dLbls>
          <c:showLegendKey val="0"/>
          <c:showVal val="0"/>
          <c:showCatName val="0"/>
          <c:showSerName val="0"/>
          <c:showPercent val="0"/>
          <c:showBubbleSize val="0"/>
        </c:dLbls>
        <c:gapWidth val="150"/>
        <c:axId val="182650880"/>
        <c:axId val="270928128"/>
      </c:barChart>
      <c:catAx>
        <c:axId val="182650880"/>
        <c:scaling>
          <c:orientation val="minMax"/>
        </c:scaling>
        <c:delete val="0"/>
        <c:axPos val="b"/>
        <c:numFmt formatCode="General" sourceLinked="1"/>
        <c:majorTickMark val="none"/>
        <c:minorTickMark val="none"/>
        <c:tickLblPos val="nextTo"/>
        <c:crossAx val="270928128"/>
        <c:crosses val="autoZero"/>
        <c:auto val="1"/>
        <c:lblAlgn val="ctr"/>
        <c:lblOffset val="100"/>
        <c:noMultiLvlLbl val="0"/>
      </c:catAx>
      <c:valAx>
        <c:axId val="270928128"/>
        <c:scaling>
          <c:orientation val="minMax"/>
        </c:scaling>
        <c:delete val="0"/>
        <c:axPos val="l"/>
        <c:majorGridlines/>
        <c:numFmt formatCode="General" sourceLinked="1"/>
        <c:majorTickMark val="none"/>
        <c:minorTickMark val="none"/>
        <c:tickLblPos val="nextTo"/>
        <c:crossAx val="18265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累计各阶段工作量偏差</a:t>
            </a:r>
          </a:p>
        </c:rich>
      </c:tx>
      <c:overlay val="0"/>
    </c:title>
    <c:autoTitleDeleted val="0"/>
    <c:plotArea>
      <c:layout/>
      <c:barChart>
        <c:barDir val="col"/>
        <c:grouping val="clustered"/>
        <c:varyColors val="1"/>
        <c:ser>
          <c:idx val="0"/>
          <c:order val="0"/>
          <c:invertIfNegative val="1"/>
          <c:dPt>
            <c:idx val="0"/>
            <c:invertIfNegative val="1"/>
            <c:bubble3D val="0"/>
            <c:spPr>
              <a:solidFill>
                <a:srgbClr val="7030A0"/>
              </a:solidFill>
            </c:spPr>
          </c:dPt>
          <c:dPt>
            <c:idx val="1"/>
            <c:invertIfNegative val="1"/>
            <c:bubble3D val="0"/>
          </c:dPt>
          <c:dPt>
            <c:idx val="2"/>
            <c:invertIfNegative val="1"/>
            <c:bubble3D val="0"/>
          </c:dPt>
          <c:dPt>
            <c:idx val="3"/>
            <c:invertIfNegative val="1"/>
            <c:bubble3D val="0"/>
          </c:dPt>
          <c:dPt>
            <c:idx val="4"/>
            <c:invertIfNegative val="1"/>
            <c:bubble3D val="0"/>
          </c:dPt>
          <c:cat>
            <c:strRef>
              <c:f>工作量分布!$O$22:$O$27</c:f>
              <c:strCache>
                <c:ptCount val="6"/>
                <c:pt idx="0">
                  <c:v>需求阶段</c:v>
                </c:pt>
                <c:pt idx="1">
                  <c:v>设计阶段</c:v>
                </c:pt>
                <c:pt idx="3">
                  <c:v>编码及单元测试</c:v>
                </c:pt>
                <c:pt idx="4">
                  <c:v>测试阶段</c:v>
                </c:pt>
                <c:pt idx="5">
                  <c:v>验收阶段</c:v>
                </c:pt>
              </c:strCache>
            </c:strRef>
          </c:cat>
          <c:val>
            <c:numRef>
              <c:f>工作量分布!$P$22:$P$27</c:f>
              <c:numCache>
                <c:formatCode>0.00%</c:formatCode>
                <c:ptCount val="6"/>
                <c:pt idx="0">
                  <c:v>-3.2464668207562108E-2</c:v>
                </c:pt>
                <c:pt idx="1">
                  <c:v>2.1968459568762144E-2</c:v>
                </c:pt>
                <c:pt idx="3">
                  <c:v>0.15339506027111383</c:v>
                </c:pt>
                <c:pt idx="4">
                  <c:v>0.10161441148966976</c:v>
                </c:pt>
                <c:pt idx="5">
                  <c:v>9.3851827019778788E-2</c:v>
                </c:pt>
              </c:numCache>
            </c:numRef>
          </c:val>
        </c:ser>
        <c:dLbls>
          <c:showLegendKey val="0"/>
          <c:showVal val="0"/>
          <c:showCatName val="0"/>
          <c:showSerName val="0"/>
          <c:showPercent val="0"/>
          <c:showBubbleSize val="0"/>
        </c:dLbls>
        <c:gapWidth val="150"/>
        <c:axId val="182651392"/>
        <c:axId val="270929856"/>
      </c:barChart>
      <c:catAx>
        <c:axId val="182651392"/>
        <c:scaling>
          <c:orientation val="minMax"/>
        </c:scaling>
        <c:delete val="0"/>
        <c:axPos val="b"/>
        <c:numFmt formatCode="General" sourceLinked="1"/>
        <c:majorTickMark val="none"/>
        <c:minorTickMark val="none"/>
        <c:tickLblPos val="nextTo"/>
        <c:crossAx val="270929856"/>
        <c:crosses val="autoZero"/>
        <c:auto val="1"/>
        <c:lblAlgn val="ctr"/>
        <c:lblOffset val="100"/>
        <c:noMultiLvlLbl val="0"/>
      </c:catAx>
      <c:valAx>
        <c:axId val="270929856"/>
        <c:scaling>
          <c:orientation val="minMax"/>
        </c:scaling>
        <c:delete val="0"/>
        <c:axPos val="l"/>
        <c:majorGridlines/>
        <c:numFmt formatCode="0.00%" sourceLinked="1"/>
        <c:majorTickMark val="none"/>
        <c:minorTickMark val="none"/>
        <c:tickLblPos val="nextTo"/>
        <c:crossAx val="1826513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阶段单位规模工作量的控制图</a:t>
            </a:r>
            <a:endParaRPr lang="en-US" altLang="zh-CN"/>
          </a:p>
        </c:rich>
      </c:tx>
      <c:overlay val="0"/>
    </c:title>
    <c:autoTitleDeleted val="0"/>
    <c:plotArea>
      <c:layout/>
      <c:lineChart>
        <c:grouping val="standard"/>
        <c:varyColors val="0"/>
        <c:ser>
          <c:idx val="0"/>
          <c:order val="0"/>
          <c:tx>
            <c:strRef>
              <c:f>工作量分布!$D$21</c:f>
              <c:strCache>
                <c:ptCount val="1"/>
                <c:pt idx="0">
                  <c:v>LOL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工作量分布!$E$21:$I$21</c:f>
              <c:numCache>
                <c:formatCode>0.0000_ </c:formatCode>
                <c:ptCount val="5"/>
                <c:pt idx="0">
                  <c:v>0</c:v>
                </c:pt>
                <c:pt idx="1">
                  <c:v>1.5E-3</c:v>
                </c:pt>
                <c:pt idx="2">
                  <c:v>7.9474874860600009E-2</c:v>
                </c:pt>
                <c:pt idx="3">
                  <c:v>0.09</c:v>
                </c:pt>
                <c:pt idx="4">
                  <c:v>0</c:v>
                </c:pt>
              </c:numCache>
            </c:numRef>
          </c:val>
          <c:smooth val="0"/>
        </c:ser>
        <c:ser>
          <c:idx val="1"/>
          <c:order val="1"/>
          <c:tx>
            <c:strRef>
              <c:f>工作量分布!$D$22</c:f>
              <c:strCache>
                <c:ptCount val="1"/>
                <c:pt idx="0">
                  <c:v>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工作量分布!$E$22:$I$22</c:f>
              <c:numCache>
                <c:formatCode>0.0000_ </c:formatCode>
                <c:ptCount val="5"/>
                <c:pt idx="0">
                  <c:v>0.55000000000000004</c:v>
                </c:pt>
                <c:pt idx="1">
                  <c:v>0.34710524803163401</c:v>
                </c:pt>
                <c:pt idx="2">
                  <c:v>0.96250000000000002</c:v>
                </c:pt>
                <c:pt idx="3">
                  <c:v>0.80957050162269195</c:v>
                </c:pt>
                <c:pt idx="4">
                  <c:v>0.12916399609051399</c:v>
                </c:pt>
              </c:numCache>
            </c:numRef>
          </c:val>
          <c:smooth val="0"/>
        </c:ser>
        <c:ser>
          <c:idx val="2"/>
          <c:order val="2"/>
          <c:tx>
            <c:strRef>
              <c:f>工作量分布!$D$23</c:f>
              <c:strCache>
                <c:ptCount val="1"/>
                <c:pt idx="0">
                  <c:v>UOL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工作量分布!$E$23:$I$23</c:f>
              <c:numCache>
                <c:formatCode>0.0000_ </c:formatCode>
                <c:ptCount val="5"/>
                <c:pt idx="0">
                  <c:v>1.4930624150833844</c:v>
                </c:pt>
                <c:pt idx="1">
                  <c:v>0.69269999999999998</c:v>
                </c:pt>
                <c:pt idx="2">
                  <c:v>1.8455251251394</c:v>
                </c:pt>
                <c:pt idx="3">
                  <c:v>1.5289999999999999</c:v>
                </c:pt>
                <c:pt idx="4">
                  <c:v>0.28422465362935911</c:v>
                </c:pt>
              </c:numCache>
            </c:numRef>
          </c:val>
          <c:smooth val="0"/>
        </c:ser>
        <c:ser>
          <c:idx val="3"/>
          <c:order val="3"/>
          <c:tx>
            <c:strRef>
              <c:f>工作量分布!$D$24</c:f>
              <c:strCache>
                <c:ptCount val="1"/>
                <c:pt idx="0">
                  <c:v>计划数据</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工作量分布!$E$24:$I$24</c:f>
              <c:numCache>
                <c:formatCode>General</c:formatCode>
                <c:ptCount val="5"/>
                <c:pt idx="0">
                  <c:v>0.3474452107279693</c:v>
                </c:pt>
                <c:pt idx="1">
                  <c:v>8.2289655172413781E-2</c:v>
                </c:pt>
                <c:pt idx="2">
                  <c:v>0.21181065088757392</c:v>
                </c:pt>
                <c:pt idx="3">
                  <c:v>0.249015652173913</c:v>
                </c:pt>
                <c:pt idx="4">
                  <c:v>5.1878260869565221E-2</c:v>
                </c:pt>
              </c:numCache>
            </c:numRef>
          </c:val>
          <c:smooth val="0"/>
        </c:ser>
        <c:ser>
          <c:idx val="4"/>
          <c:order val="4"/>
          <c:tx>
            <c:strRef>
              <c:f>工作量分布!$D$25</c:f>
              <c:strCache>
                <c:ptCount val="1"/>
                <c:pt idx="0">
                  <c:v>实际数据</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工作量分布!$E$25:$I$25</c:f>
              <c:numCache>
                <c:formatCode>General</c:formatCode>
                <c:ptCount val="5"/>
                <c:pt idx="0">
                  <c:v>0.33616551724137927</c:v>
                </c:pt>
                <c:pt idx="1">
                  <c:v>0.10300996168582376</c:v>
                </c:pt>
                <c:pt idx="2">
                  <c:v>0.29881656804733731</c:v>
                </c:pt>
                <c:pt idx="3">
                  <c:v>0.23617391304347829</c:v>
                </c:pt>
                <c:pt idx="4">
                  <c:v>4.909565217391304E-2</c:v>
                </c:pt>
              </c:numCache>
            </c:numRef>
          </c:val>
          <c:smooth val="0"/>
        </c:ser>
        <c:dLbls>
          <c:showLegendKey val="0"/>
          <c:showVal val="0"/>
          <c:showCatName val="0"/>
          <c:showSerName val="0"/>
          <c:showPercent val="0"/>
          <c:showBubbleSize val="0"/>
        </c:dLbls>
        <c:marker val="1"/>
        <c:smooth val="0"/>
        <c:axId val="224527360"/>
        <c:axId val="46188224"/>
      </c:lineChart>
      <c:catAx>
        <c:axId val="224527360"/>
        <c:scaling>
          <c:orientation val="minMax"/>
        </c:scaling>
        <c:delete val="0"/>
        <c:axPos val="b"/>
        <c:numFmt formatCode="General" sourceLinked="0"/>
        <c:majorTickMark val="out"/>
        <c:minorTickMark val="none"/>
        <c:tickLblPos val="nextTo"/>
        <c:crossAx val="46188224"/>
        <c:crosses val="autoZero"/>
        <c:auto val="1"/>
        <c:lblAlgn val="ctr"/>
        <c:lblOffset val="100"/>
        <c:noMultiLvlLbl val="0"/>
      </c:catAx>
      <c:valAx>
        <c:axId val="46188224"/>
        <c:scaling>
          <c:orientation val="minMax"/>
        </c:scaling>
        <c:delete val="0"/>
        <c:axPos val="l"/>
        <c:majorGridlines/>
        <c:numFmt formatCode="0.0000_ " sourceLinked="1"/>
        <c:majorTickMark val="out"/>
        <c:minorTickMark val="none"/>
        <c:tickLblPos val="nextTo"/>
        <c:crossAx val="224527360"/>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估算之前的偏差</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项目进度!$I$41:$I$43</c:f>
              <c:strCache>
                <c:ptCount val="3"/>
                <c:pt idx="0">
                  <c:v> 量级估算与预算估算偏差</c:v>
                </c:pt>
                <c:pt idx="1">
                  <c:v>预算估算与确定性估算偏差</c:v>
                </c:pt>
                <c:pt idx="2">
                  <c:v>预算估算与确定性偏差</c:v>
                </c:pt>
              </c:strCache>
            </c:strRef>
          </c:cat>
          <c:val>
            <c:numRef>
              <c:f>项目进度!$J$41:$J$43</c:f>
              <c:numCache>
                <c:formatCode>General</c:formatCode>
                <c:ptCount val="3"/>
                <c:pt idx="0" formatCode="0_ ">
                  <c:v>1</c:v>
                </c:pt>
                <c:pt idx="1">
                  <c:v>0.33333333333333331</c:v>
                </c:pt>
                <c:pt idx="2">
                  <c:v>-0.48333333333333334</c:v>
                </c:pt>
              </c:numCache>
            </c:numRef>
          </c:val>
        </c:ser>
        <c:dLbls>
          <c:showLegendKey val="0"/>
          <c:showVal val="0"/>
          <c:showCatName val="0"/>
          <c:showSerName val="0"/>
          <c:showPercent val="0"/>
          <c:showBubbleSize val="0"/>
        </c:dLbls>
        <c:gapWidth val="150"/>
        <c:axId val="46291968"/>
        <c:axId val="262118720"/>
      </c:barChart>
      <c:catAx>
        <c:axId val="46291968"/>
        <c:scaling>
          <c:orientation val="minMax"/>
        </c:scaling>
        <c:delete val="1"/>
        <c:axPos val="b"/>
        <c:numFmt formatCode="General" sourceLinked="0"/>
        <c:majorTickMark val="out"/>
        <c:minorTickMark val="none"/>
        <c:tickLblPos val="nextTo"/>
        <c:crossAx val="262118720"/>
        <c:crosses val="autoZero"/>
        <c:auto val="1"/>
        <c:lblAlgn val="ctr"/>
        <c:lblOffset val="100"/>
        <c:noMultiLvlLbl val="0"/>
      </c:catAx>
      <c:valAx>
        <c:axId val="262118720"/>
        <c:scaling>
          <c:orientation val="minMax"/>
        </c:scaling>
        <c:delete val="0"/>
        <c:axPos val="l"/>
        <c:majorGridlines/>
        <c:numFmt formatCode="0_ " sourceLinked="1"/>
        <c:majorTickMark val="none"/>
        <c:minorTickMark val="none"/>
        <c:tickLblPos val="nextTo"/>
        <c:crossAx val="462919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项目进度!$B$14</c:f>
              <c:strCache>
                <c:ptCount val="1"/>
                <c:pt idx="0">
                  <c:v>LOL</c:v>
                </c:pt>
              </c:strCache>
            </c:strRef>
          </c:tx>
          <c:cat>
            <c:strRef>
              <c:f>[0]!周次于画图</c:f>
              <c:strCache>
                <c:ptCount val="5"/>
                <c:pt idx="0">
                  <c:v>第1周</c:v>
                </c:pt>
                <c:pt idx="1">
                  <c:v>第2周</c:v>
                </c:pt>
                <c:pt idx="2">
                  <c:v>第3周</c:v>
                </c:pt>
                <c:pt idx="3">
                  <c:v>第4周</c:v>
                </c:pt>
                <c:pt idx="4">
                  <c:v>第5周</c:v>
                </c:pt>
              </c:strCache>
            </c:strRef>
          </c:cat>
          <c:val>
            <c:numRef>
              <c:f>[0]!进度偏差的下限于画图</c:f>
              <c:numCache>
                <c:formatCode>0.00%</c:formatCode>
                <c:ptCount val="5"/>
                <c:pt idx="0">
                  <c:v>-0.1</c:v>
                </c:pt>
                <c:pt idx="1">
                  <c:v>-0.1</c:v>
                </c:pt>
                <c:pt idx="2">
                  <c:v>-0.1</c:v>
                </c:pt>
                <c:pt idx="3">
                  <c:v>-0.1</c:v>
                </c:pt>
                <c:pt idx="4">
                  <c:v>-0.1</c:v>
                </c:pt>
              </c:numCache>
            </c:numRef>
          </c:val>
          <c:smooth val="0"/>
        </c:ser>
        <c:ser>
          <c:idx val="1"/>
          <c:order val="1"/>
          <c:tx>
            <c:strRef>
              <c:f>项目进度!$B$15</c:f>
              <c:strCache>
                <c:ptCount val="1"/>
                <c:pt idx="0">
                  <c:v>OL</c:v>
                </c:pt>
              </c:strCache>
            </c:strRef>
          </c:tx>
          <c:cat>
            <c:strRef>
              <c:f>[0]!周次于画图</c:f>
              <c:strCache>
                <c:ptCount val="5"/>
                <c:pt idx="0">
                  <c:v>第1周</c:v>
                </c:pt>
                <c:pt idx="1">
                  <c:v>第2周</c:v>
                </c:pt>
                <c:pt idx="2">
                  <c:v>第3周</c:v>
                </c:pt>
                <c:pt idx="3">
                  <c:v>第4周</c:v>
                </c:pt>
                <c:pt idx="4">
                  <c:v>第5周</c:v>
                </c:pt>
              </c:strCache>
            </c:strRef>
          </c:cat>
          <c:val>
            <c:numRef>
              <c:f>[0]!进度偏差的均值于画图</c:f>
              <c:numCache>
                <c:formatCode>0.00%</c:formatCode>
                <c:ptCount val="5"/>
                <c:pt idx="0">
                  <c:v>0.02</c:v>
                </c:pt>
                <c:pt idx="1">
                  <c:v>0.02</c:v>
                </c:pt>
                <c:pt idx="2">
                  <c:v>0.02</c:v>
                </c:pt>
                <c:pt idx="3">
                  <c:v>0.02</c:v>
                </c:pt>
                <c:pt idx="4">
                  <c:v>0.02</c:v>
                </c:pt>
              </c:numCache>
            </c:numRef>
          </c:val>
          <c:smooth val="0"/>
        </c:ser>
        <c:ser>
          <c:idx val="2"/>
          <c:order val="2"/>
          <c:tx>
            <c:strRef>
              <c:f>项目进度!$B$16</c:f>
              <c:strCache>
                <c:ptCount val="1"/>
                <c:pt idx="0">
                  <c:v>UOL</c:v>
                </c:pt>
              </c:strCache>
            </c:strRef>
          </c:tx>
          <c:cat>
            <c:strRef>
              <c:f>[0]!周次于画图</c:f>
              <c:strCache>
                <c:ptCount val="5"/>
                <c:pt idx="0">
                  <c:v>第1周</c:v>
                </c:pt>
                <c:pt idx="1">
                  <c:v>第2周</c:v>
                </c:pt>
                <c:pt idx="2">
                  <c:v>第3周</c:v>
                </c:pt>
                <c:pt idx="3">
                  <c:v>第4周</c:v>
                </c:pt>
                <c:pt idx="4">
                  <c:v>第5周</c:v>
                </c:pt>
              </c:strCache>
            </c:strRef>
          </c:cat>
          <c:val>
            <c:numRef>
              <c:f>[0]!进度偏差的上限于画图</c:f>
              <c:numCache>
                <c:formatCode>0.00%</c:formatCode>
                <c:ptCount val="5"/>
                <c:pt idx="0">
                  <c:v>0.1</c:v>
                </c:pt>
                <c:pt idx="1">
                  <c:v>0.1</c:v>
                </c:pt>
                <c:pt idx="2">
                  <c:v>0.1</c:v>
                </c:pt>
                <c:pt idx="3">
                  <c:v>0.1</c:v>
                </c:pt>
                <c:pt idx="4">
                  <c:v>0.1</c:v>
                </c:pt>
              </c:numCache>
            </c:numRef>
          </c:val>
          <c:smooth val="0"/>
        </c:ser>
        <c:ser>
          <c:idx val="3"/>
          <c:order val="3"/>
          <c:tx>
            <c:strRef>
              <c:f>项目进度!$A$12</c:f>
              <c:strCache>
                <c:ptCount val="1"/>
                <c:pt idx="0">
                  <c:v>项目数据</c:v>
                </c:pt>
              </c:strCache>
            </c:strRef>
          </c:tx>
          <c:cat>
            <c:strRef>
              <c:f>[0]!周次于画图</c:f>
              <c:strCache>
                <c:ptCount val="5"/>
                <c:pt idx="0">
                  <c:v>第1周</c:v>
                </c:pt>
                <c:pt idx="1">
                  <c:v>第2周</c:v>
                </c:pt>
                <c:pt idx="2">
                  <c:v>第3周</c:v>
                </c:pt>
                <c:pt idx="3">
                  <c:v>第4周</c:v>
                </c:pt>
                <c:pt idx="4">
                  <c:v>第5周</c:v>
                </c:pt>
              </c:strCache>
            </c:strRef>
          </c:cat>
          <c:val>
            <c:numRef>
              <c:f>[0]!周进度偏差于画图</c:f>
              <c:numCache>
                <c:formatCode>0.00%</c:formatCode>
                <c:ptCount val="5"/>
                <c:pt idx="0">
                  <c:v>2.2200000000000001E-2</c:v>
                </c:pt>
                <c:pt idx="1">
                  <c:v>8.1100000000000005E-2</c:v>
                </c:pt>
                <c:pt idx="2">
                  <c:v>3.56E-2</c:v>
                </c:pt>
                <c:pt idx="3">
                  <c:v>2.5499999999999998E-2</c:v>
                </c:pt>
                <c:pt idx="4">
                  <c:v>0</c:v>
                </c:pt>
              </c:numCache>
            </c:numRef>
          </c:val>
          <c:smooth val="0"/>
        </c:ser>
        <c:dLbls>
          <c:showLegendKey val="0"/>
          <c:showVal val="0"/>
          <c:showCatName val="0"/>
          <c:showSerName val="0"/>
          <c:showPercent val="0"/>
          <c:showBubbleSize val="0"/>
        </c:dLbls>
        <c:marker val="1"/>
        <c:smooth val="0"/>
        <c:axId val="260629504"/>
        <c:axId val="270933312"/>
      </c:lineChart>
      <c:catAx>
        <c:axId val="260629504"/>
        <c:scaling>
          <c:orientation val="minMax"/>
        </c:scaling>
        <c:delete val="0"/>
        <c:axPos val="b"/>
        <c:numFmt formatCode="General" sourceLinked="0"/>
        <c:majorTickMark val="out"/>
        <c:minorTickMark val="none"/>
        <c:tickLblPos val="low"/>
        <c:crossAx val="270933312"/>
        <c:crosses val="autoZero"/>
        <c:auto val="1"/>
        <c:lblAlgn val="ctr"/>
        <c:lblOffset val="100"/>
        <c:noMultiLvlLbl val="0"/>
      </c:catAx>
      <c:valAx>
        <c:axId val="270933312"/>
        <c:scaling>
          <c:orientation val="minMax"/>
        </c:scaling>
        <c:delete val="0"/>
        <c:axPos val="l"/>
        <c:majorGridlines/>
        <c:numFmt formatCode="0.00%" sourceLinked="1"/>
        <c:majorTickMark val="out"/>
        <c:minorTickMark val="none"/>
        <c:tickLblPos val="nextTo"/>
        <c:crossAx val="260629504"/>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过程产出缺陷度量!$L$6</c:f>
              <c:strCache>
                <c:ptCount val="1"/>
                <c:pt idx="0">
                  <c:v>LOL</c:v>
                </c:pt>
              </c:strCache>
            </c:strRef>
          </c:tx>
          <c:cat>
            <c:strRef>
              <c:f>[0]!客户需求评审次数</c:f>
              <c:strCache>
                <c:ptCount val="2"/>
                <c:pt idx="0">
                  <c:v>第1次评审</c:v>
                </c:pt>
                <c:pt idx="1">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过程产出缺陷度量!$M$6</c:f>
              <c:strCache>
                <c:ptCount val="1"/>
                <c:pt idx="0">
                  <c:v>OL</c:v>
                </c:pt>
              </c:strCache>
            </c:strRef>
          </c:tx>
          <c:cat>
            <c:strRef>
              <c:f>[0]!客户需求评审次数</c:f>
              <c:strCache>
                <c:ptCount val="2"/>
                <c:pt idx="0">
                  <c:v>第1次评审</c:v>
                </c:pt>
                <c:pt idx="1">
                  <c:v>第2次评审</c:v>
                </c:pt>
              </c:strCache>
            </c:strRef>
          </c:cat>
          <c:val>
            <c:numRef>
              <c:f>[0]!客户需求评审缺陷密度的均值</c:f>
              <c:numCache>
                <c:formatCode>0.0000_ </c:formatCode>
                <c:ptCount val="2"/>
                <c:pt idx="0">
                  <c:v>0.3075</c:v>
                </c:pt>
                <c:pt idx="1">
                  <c:v>0.3075</c:v>
                </c:pt>
              </c:numCache>
            </c:numRef>
          </c:val>
          <c:smooth val="0"/>
        </c:ser>
        <c:ser>
          <c:idx val="2"/>
          <c:order val="2"/>
          <c:tx>
            <c:strRef>
              <c:f>过程产出缺陷度量!$N$6</c:f>
              <c:strCache>
                <c:ptCount val="1"/>
                <c:pt idx="0">
                  <c:v>UOL</c:v>
                </c:pt>
              </c:strCache>
            </c:strRef>
          </c:tx>
          <c:cat>
            <c:strRef>
              <c:f>[0]!客户需求评审次数</c:f>
              <c:strCache>
                <c:ptCount val="2"/>
                <c:pt idx="0">
                  <c:v>第1次评审</c:v>
                </c:pt>
                <c:pt idx="1">
                  <c:v>第2次评审</c:v>
                </c:pt>
              </c:strCache>
            </c:strRef>
          </c:cat>
          <c:val>
            <c:numRef>
              <c:f>[0]!客户需求评审缺陷密度的上限</c:f>
              <c:numCache>
                <c:formatCode>0.0000_ </c:formatCode>
                <c:ptCount val="2"/>
                <c:pt idx="0">
                  <c:v>0.65469999999999995</c:v>
                </c:pt>
                <c:pt idx="1">
                  <c:v>0.65469999999999995</c:v>
                </c:pt>
              </c:numCache>
            </c:numRef>
          </c:val>
          <c:smooth val="0"/>
        </c:ser>
        <c:ser>
          <c:idx val="3"/>
          <c:order val="3"/>
          <c:tx>
            <c:v>项目数据</c:v>
          </c:tx>
          <c:cat>
            <c:strRef>
              <c:f>[0]!客户需求评审次数</c:f>
              <c:strCache>
                <c:ptCount val="2"/>
                <c:pt idx="0">
                  <c:v>第1次评审</c:v>
                </c:pt>
                <c:pt idx="1">
                  <c:v>第2次评审</c:v>
                </c:pt>
              </c:strCache>
            </c:strRef>
          </c:cat>
          <c:val>
            <c:numRef>
              <c:f>[0]!客户需求评审缺陷密度</c:f>
              <c:numCache>
                <c:formatCode>0.000_ </c:formatCode>
                <c:ptCount val="2"/>
                <c:pt idx="0">
                  <c:v>0.625</c:v>
                </c:pt>
                <c:pt idx="1">
                  <c:v>0.46666666666666667</c:v>
                </c:pt>
              </c:numCache>
            </c:numRef>
          </c:val>
          <c:smooth val="0"/>
        </c:ser>
        <c:dLbls>
          <c:showLegendKey val="0"/>
          <c:showVal val="0"/>
          <c:showCatName val="0"/>
          <c:showSerName val="0"/>
          <c:showPercent val="0"/>
          <c:showBubbleSize val="0"/>
        </c:dLbls>
        <c:marker val="1"/>
        <c:smooth val="0"/>
        <c:axId val="261705728"/>
        <c:axId val="281774912"/>
      </c:lineChart>
      <c:catAx>
        <c:axId val="261705728"/>
        <c:scaling>
          <c:orientation val="minMax"/>
        </c:scaling>
        <c:delete val="0"/>
        <c:axPos val="b"/>
        <c:numFmt formatCode="General" sourceLinked="0"/>
        <c:majorTickMark val="out"/>
        <c:minorTickMark val="none"/>
        <c:tickLblPos val="low"/>
        <c:crossAx val="281774912"/>
        <c:crosses val="autoZero"/>
        <c:auto val="1"/>
        <c:lblAlgn val="ctr"/>
        <c:lblOffset val="100"/>
        <c:noMultiLvlLbl val="0"/>
      </c:catAx>
      <c:valAx>
        <c:axId val="281774912"/>
        <c:scaling>
          <c:orientation val="minMax"/>
        </c:scaling>
        <c:delete val="0"/>
        <c:axPos val="l"/>
        <c:majorGridlines/>
        <c:numFmt formatCode="0.0000_ " sourceLinked="1"/>
        <c:majorTickMark val="out"/>
        <c:minorTickMark val="none"/>
        <c:tickLblPos val="nextTo"/>
        <c:crossAx val="261705728"/>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过程产出缺陷度量!$L$29</c:f>
              <c:strCache>
                <c:ptCount val="1"/>
                <c:pt idx="0">
                  <c:v>LOL</c:v>
                </c:pt>
              </c:strCache>
            </c:strRef>
          </c:tx>
          <c:cat>
            <c:strRef>
              <c:f>[0]!需求规格评审次数于画图</c:f>
              <c:strCache>
                <c:ptCount val="3"/>
                <c:pt idx="0">
                  <c:v>第1次评审</c:v>
                </c:pt>
                <c:pt idx="1">
                  <c:v>第2次评审</c:v>
                </c:pt>
                <c:pt idx="2">
                  <c:v>第3次评审</c:v>
                </c:pt>
              </c:strCache>
            </c:strRef>
          </c:cat>
          <c:val>
            <c:numRef>
              <c:f>[0]!需求规格评审缺陷密度的下限于画图</c:f>
              <c:numCache>
                <c:formatCode>0.0000_ </c:formatCode>
                <c:ptCount val="3"/>
                <c:pt idx="0">
                  <c:v>0</c:v>
                </c:pt>
                <c:pt idx="1">
                  <c:v>0</c:v>
                </c:pt>
                <c:pt idx="2">
                  <c:v>0</c:v>
                </c:pt>
              </c:numCache>
            </c:numRef>
          </c:val>
          <c:smooth val="0"/>
        </c:ser>
        <c:ser>
          <c:idx val="1"/>
          <c:order val="1"/>
          <c:tx>
            <c:strRef>
              <c:f>过程产出缺陷度量!$M$29</c:f>
              <c:strCache>
                <c:ptCount val="1"/>
                <c:pt idx="0">
                  <c:v>OL</c:v>
                </c:pt>
              </c:strCache>
            </c:strRef>
          </c:tx>
          <c:cat>
            <c:strRef>
              <c:f>[0]!需求规格评审次数于画图</c:f>
              <c:strCache>
                <c:ptCount val="3"/>
                <c:pt idx="0">
                  <c:v>第1次评审</c:v>
                </c:pt>
                <c:pt idx="1">
                  <c:v>第2次评审</c:v>
                </c:pt>
                <c:pt idx="2">
                  <c:v>第3次评审</c:v>
                </c:pt>
              </c:strCache>
            </c:strRef>
          </c:cat>
          <c:val>
            <c:numRef>
              <c:f>[0]!需求规格评审缺陷密度的均值于画图</c:f>
              <c:numCache>
                <c:formatCode>0.0000_ </c:formatCode>
                <c:ptCount val="3"/>
                <c:pt idx="0">
                  <c:v>0.28660000000000002</c:v>
                </c:pt>
                <c:pt idx="1">
                  <c:v>0.28660000000000002</c:v>
                </c:pt>
                <c:pt idx="2">
                  <c:v>0.28660000000000002</c:v>
                </c:pt>
              </c:numCache>
            </c:numRef>
          </c:val>
          <c:smooth val="0"/>
        </c:ser>
        <c:ser>
          <c:idx val="2"/>
          <c:order val="2"/>
          <c:tx>
            <c:strRef>
              <c:f>过程产出缺陷度量!$N$29</c:f>
              <c:strCache>
                <c:ptCount val="1"/>
                <c:pt idx="0">
                  <c:v>UOL</c:v>
                </c:pt>
              </c:strCache>
            </c:strRef>
          </c:tx>
          <c:cat>
            <c:strRef>
              <c:f>[0]!需求规格评审次数于画图</c:f>
              <c:strCache>
                <c:ptCount val="3"/>
                <c:pt idx="0">
                  <c:v>第1次评审</c:v>
                </c:pt>
                <c:pt idx="1">
                  <c:v>第2次评审</c:v>
                </c:pt>
                <c:pt idx="2">
                  <c:v>第3次评审</c:v>
                </c:pt>
              </c:strCache>
            </c:strRef>
          </c:cat>
          <c:val>
            <c:numRef>
              <c:f>[0]!需求规格评审缺陷密度的上限于画图</c:f>
              <c:numCache>
                <c:formatCode>0.0000_ </c:formatCode>
                <c:ptCount val="3"/>
                <c:pt idx="0">
                  <c:v>0.61099999999999999</c:v>
                </c:pt>
                <c:pt idx="1">
                  <c:v>0.61099999999999999</c:v>
                </c:pt>
                <c:pt idx="2">
                  <c:v>0.61099999999999999</c:v>
                </c:pt>
              </c:numCache>
            </c:numRef>
          </c:val>
          <c:smooth val="0"/>
        </c:ser>
        <c:ser>
          <c:idx val="3"/>
          <c:order val="3"/>
          <c:tx>
            <c:v>项目数据</c:v>
          </c:tx>
          <c:cat>
            <c:strRef>
              <c:f>[0]!需求规格评审次数于画图</c:f>
              <c:strCache>
                <c:ptCount val="3"/>
                <c:pt idx="0">
                  <c:v>第1次评审</c:v>
                </c:pt>
                <c:pt idx="1">
                  <c:v>第2次评审</c:v>
                </c:pt>
                <c:pt idx="2">
                  <c:v>第3次评审</c:v>
                </c:pt>
              </c:strCache>
            </c:strRef>
          </c:cat>
          <c:val>
            <c:numRef>
              <c:f>[0]!需求规格评审缺陷密度于画图</c:f>
              <c:numCache>
                <c:formatCode>0.000_ </c:formatCode>
                <c:ptCount val="3"/>
                <c:pt idx="0">
                  <c:v>0.53333333333333333</c:v>
                </c:pt>
                <c:pt idx="1">
                  <c:v>0.52631578947368418</c:v>
                </c:pt>
                <c:pt idx="2">
                  <c:v>0.5</c:v>
                </c:pt>
              </c:numCache>
            </c:numRef>
          </c:val>
          <c:smooth val="0"/>
        </c:ser>
        <c:dLbls>
          <c:showLegendKey val="0"/>
          <c:showVal val="0"/>
          <c:showCatName val="0"/>
          <c:showSerName val="0"/>
          <c:showPercent val="0"/>
          <c:showBubbleSize val="0"/>
        </c:dLbls>
        <c:marker val="1"/>
        <c:smooth val="0"/>
        <c:axId val="261707264"/>
        <c:axId val="281777216"/>
      </c:lineChart>
      <c:catAx>
        <c:axId val="261707264"/>
        <c:scaling>
          <c:orientation val="minMax"/>
        </c:scaling>
        <c:delete val="0"/>
        <c:axPos val="b"/>
        <c:numFmt formatCode="General" sourceLinked="0"/>
        <c:majorTickMark val="out"/>
        <c:minorTickMark val="none"/>
        <c:tickLblPos val="low"/>
        <c:crossAx val="281777216"/>
        <c:crosses val="autoZero"/>
        <c:auto val="1"/>
        <c:lblAlgn val="ctr"/>
        <c:lblOffset val="100"/>
        <c:noMultiLvlLbl val="0"/>
      </c:catAx>
      <c:valAx>
        <c:axId val="281777216"/>
        <c:scaling>
          <c:orientation val="minMax"/>
        </c:scaling>
        <c:delete val="0"/>
        <c:axPos val="l"/>
        <c:majorGridlines/>
        <c:numFmt formatCode="0.0000_ " sourceLinked="1"/>
        <c:majorTickMark val="out"/>
        <c:minorTickMark val="none"/>
        <c:tickLblPos val="nextTo"/>
        <c:crossAx val="261707264"/>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过程产出缺陷度量!$L$55</c:f>
              <c:strCache>
                <c:ptCount val="1"/>
                <c:pt idx="0">
                  <c:v>LOL</c:v>
                </c:pt>
              </c:strCache>
            </c:strRef>
          </c:tx>
          <c:cat>
            <c:strRef>
              <c:f>[0]!设计评审次数于画图</c:f>
              <c:strCache>
                <c:ptCount val="3"/>
                <c:pt idx="0">
                  <c:v>第1次评审</c:v>
                </c:pt>
                <c:pt idx="1">
                  <c:v>第2次评审</c:v>
                </c:pt>
                <c:pt idx="2">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过程产出缺陷度量!$M$55</c:f>
              <c:strCache>
                <c:ptCount val="1"/>
                <c:pt idx="0">
                  <c:v>OL</c:v>
                </c:pt>
              </c:strCache>
            </c:strRef>
          </c:tx>
          <c:cat>
            <c:strRef>
              <c:f>[0]!设计评审次数于画图</c:f>
              <c:strCache>
                <c:ptCount val="3"/>
                <c:pt idx="0">
                  <c:v>第1次评审</c:v>
                </c:pt>
                <c:pt idx="1">
                  <c:v>第2次评审</c:v>
                </c:pt>
                <c:pt idx="2">
                  <c:v>第3次评审</c:v>
                </c:pt>
              </c:strCache>
            </c:strRef>
          </c:cat>
          <c:val>
            <c:numRef>
              <c:f>[0]!设计评审缺陷密度的均值于画图</c:f>
              <c:numCache>
                <c:formatCode>0.0000_ </c:formatCode>
                <c:ptCount val="3"/>
                <c:pt idx="0">
                  <c:v>0.23330000000000001</c:v>
                </c:pt>
                <c:pt idx="1">
                  <c:v>0.23330000000000001</c:v>
                </c:pt>
                <c:pt idx="2">
                  <c:v>0.23330000000000001</c:v>
                </c:pt>
              </c:numCache>
            </c:numRef>
          </c:val>
          <c:smooth val="0"/>
        </c:ser>
        <c:ser>
          <c:idx val="2"/>
          <c:order val="2"/>
          <c:tx>
            <c:strRef>
              <c:f>过程产出缺陷度量!$N$55</c:f>
              <c:strCache>
                <c:ptCount val="1"/>
                <c:pt idx="0">
                  <c:v>UOL</c:v>
                </c:pt>
              </c:strCache>
            </c:strRef>
          </c:tx>
          <c:cat>
            <c:strRef>
              <c:f>[0]!设计评审次数于画图</c:f>
              <c:strCache>
                <c:ptCount val="3"/>
                <c:pt idx="0">
                  <c:v>第1次评审</c:v>
                </c:pt>
                <c:pt idx="1">
                  <c:v>第2次评审</c:v>
                </c:pt>
                <c:pt idx="2">
                  <c:v>第3次评审</c:v>
                </c:pt>
              </c:strCache>
            </c:strRef>
          </c:cat>
          <c:val>
            <c:numRef>
              <c:f>[0]!设计评审缺陷密度的上限于画图</c:f>
              <c:numCache>
                <c:formatCode>0.0000_ </c:formatCode>
                <c:ptCount val="3"/>
                <c:pt idx="0">
                  <c:v>0.71309999999999996</c:v>
                </c:pt>
                <c:pt idx="1">
                  <c:v>0.71309999999999996</c:v>
                </c:pt>
                <c:pt idx="2">
                  <c:v>0.71309999999999996</c:v>
                </c:pt>
              </c:numCache>
            </c:numRef>
          </c:val>
          <c:smooth val="0"/>
        </c:ser>
        <c:ser>
          <c:idx val="3"/>
          <c:order val="3"/>
          <c:tx>
            <c:v>项目数据</c:v>
          </c:tx>
          <c:cat>
            <c:strRef>
              <c:f>[0]!设计评审次数于画图</c:f>
              <c:strCache>
                <c:ptCount val="3"/>
                <c:pt idx="0">
                  <c:v>第1次评审</c:v>
                </c:pt>
                <c:pt idx="1">
                  <c:v>第2次评审</c:v>
                </c:pt>
                <c:pt idx="2">
                  <c:v>第3次评审</c:v>
                </c:pt>
              </c:strCache>
            </c:strRef>
          </c:cat>
          <c:val>
            <c:numRef>
              <c:f>[0]!设计评审缺陷密度于画图</c:f>
              <c:numCache>
                <c:formatCode>0.000_ </c:formatCode>
                <c:ptCount val="3"/>
                <c:pt idx="0">
                  <c:v>0.53333333333333333</c:v>
                </c:pt>
                <c:pt idx="1">
                  <c:v>0.6</c:v>
                </c:pt>
                <c:pt idx="2">
                  <c:v>0.6</c:v>
                </c:pt>
              </c:numCache>
            </c:numRef>
          </c:val>
          <c:smooth val="0"/>
        </c:ser>
        <c:dLbls>
          <c:showLegendKey val="0"/>
          <c:showVal val="0"/>
          <c:showCatName val="0"/>
          <c:showSerName val="0"/>
          <c:showPercent val="0"/>
          <c:showBubbleSize val="0"/>
        </c:dLbls>
        <c:marker val="1"/>
        <c:smooth val="0"/>
        <c:axId val="261717504"/>
        <c:axId val="290127872"/>
      </c:lineChart>
      <c:catAx>
        <c:axId val="261717504"/>
        <c:scaling>
          <c:orientation val="minMax"/>
        </c:scaling>
        <c:delete val="0"/>
        <c:axPos val="b"/>
        <c:numFmt formatCode="General" sourceLinked="1"/>
        <c:majorTickMark val="out"/>
        <c:minorTickMark val="none"/>
        <c:tickLblPos val="low"/>
        <c:crossAx val="290127872"/>
        <c:crosses val="autoZero"/>
        <c:auto val="1"/>
        <c:lblAlgn val="ctr"/>
        <c:lblOffset val="100"/>
        <c:noMultiLvlLbl val="0"/>
      </c:catAx>
      <c:valAx>
        <c:axId val="290127872"/>
        <c:scaling>
          <c:orientation val="minMax"/>
        </c:scaling>
        <c:delete val="0"/>
        <c:axPos val="l"/>
        <c:majorGridlines/>
        <c:numFmt formatCode="0.0000_ " sourceLinked="1"/>
        <c:majorTickMark val="out"/>
        <c:minorTickMark val="none"/>
        <c:tickLblPos val="nextTo"/>
        <c:crossAx val="261717504"/>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过程产出缺陷度量!$L$82</c:f>
              <c:strCache>
                <c:ptCount val="1"/>
                <c:pt idx="0">
                  <c:v>LOL</c:v>
                </c:pt>
              </c:strCache>
            </c:strRef>
          </c:tx>
          <c:cat>
            <c:strRef>
              <c:f>[0]!测试用例评审次数于画图</c:f>
              <c:strCache>
                <c:ptCount val="3"/>
                <c:pt idx="0">
                  <c:v>第1次评审</c:v>
                </c:pt>
                <c:pt idx="1">
                  <c:v>第2次评审</c:v>
                </c:pt>
                <c:pt idx="2">
                  <c:v>第3次评审</c:v>
                </c:pt>
              </c:strCache>
            </c:strRef>
          </c:cat>
          <c:val>
            <c:numRef>
              <c:f>[0]!测试用例评审缺陷密度的下限于画图</c:f>
              <c:numCache>
                <c:formatCode>0.0000_ </c:formatCode>
                <c:ptCount val="3"/>
                <c:pt idx="0">
                  <c:v>0</c:v>
                </c:pt>
                <c:pt idx="1">
                  <c:v>0</c:v>
                </c:pt>
                <c:pt idx="2">
                  <c:v>0</c:v>
                </c:pt>
              </c:numCache>
            </c:numRef>
          </c:val>
          <c:smooth val="0"/>
        </c:ser>
        <c:ser>
          <c:idx val="1"/>
          <c:order val="1"/>
          <c:tx>
            <c:strRef>
              <c:f>过程产出缺陷度量!$M$82</c:f>
              <c:strCache>
                <c:ptCount val="1"/>
                <c:pt idx="0">
                  <c:v>OL</c:v>
                </c:pt>
              </c:strCache>
            </c:strRef>
          </c:tx>
          <c:cat>
            <c:strRef>
              <c:f>[0]!测试用例评审次数于画图</c:f>
              <c:strCache>
                <c:ptCount val="3"/>
                <c:pt idx="0">
                  <c:v>第1次评审</c:v>
                </c:pt>
                <c:pt idx="1">
                  <c:v>第2次评审</c:v>
                </c:pt>
                <c:pt idx="2">
                  <c:v>第3次评审</c:v>
                </c:pt>
              </c:strCache>
            </c:strRef>
          </c:cat>
          <c:val>
            <c:numRef>
              <c:f>[0]!测试用例评审缺陷密度的均值于画图</c:f>
              <c:numCache>
                <c:formatCode>0.0000_ </c:formatCode>
                <c:ptCount val="3"/>
                <c:pt idx="0">
                  <c:v>4.351E-2</c:v>
                </c:pt>
                <c:pt idx="1">
                  <c:v>4.351E-2</c:v>
                </c:pt>
                <c:pt idx="2">
                  <c:v>4.351E-2</c:v>
                </c:pt>
              </c:numCache>
            </c:numRef>
          </c:val>
          <c:smooth val="0"/>
        </c:ser>
        <c:ser>
          <c:idx val="2"/>
          <c:order val="2"/>
          <c:tx>
            <c:strRef>
              <c:f>过程产出缺陷度量!$N$82</c:f>
              <c:strCache>
                <c:ptCount val="1"/>
                <c:pt idx="0">
                  <c:v>UOL</c:v>
                </c:pt>
              </c:strCache>
            </c:strRef>
          </c:tx>
          <c:cat>
            <c:strRef>
              <c:f>[0]!测试用例评审次数于画图</c:f>
              <c:strCache>
                <c:ptCount val="3"/>
                <c:pt idx="0">
                  <c:v>第1次评审</c:v>
                </c:pt>
                <c:pt idx="1">
                  <c:v>第2次评审</c:v>
                </c:pt>
                <c:pt idx="2">
                  <c:v>第3次评审</c:v>
                </c:pt>
              </c:strCache>
            </c:strRef>
          </c:cat>
          <c:val>
            <c:numRef>
              <c:f>[0]!测试用例评审缺陷密度的上限于画图</c:f>
              <c:numCache>
                <c:formatCode>0.0000_ </c:formatCode>
                <c:ptCount val="3"/>
                <c:pt idx="0">
                  <c:v>8.7900000000000006E-2</c:v>
                </c:pt>
                <c:pt idx="1">
                  <c:v>8.7900000000000006E-2</c:v>
                </c:pt>
                <c:pt idx="2">
                  <c:v>8.7900000000000006E-2</c:v>
                </c:pt>
              </c:numCache>
            </c:numRef>
          </c:val>
          <c:smooth val="0"/>
        </c:ser>
        <c:ser>
          <c:idx val="3"/>
          <c:order val="3"/>
          <c:tx>
            <c:v>项目数据</c:v>
          </c:tx>
          <c:cat>
            <c:strRef>
              <c:f>[0]!测试用例评审次数于画图</c:f>
              <c:strCache>
                <c:ptCount val="3"/>
                <c:pt idx="0">
                  <c:v>第1次评审</c:v>
                </c:pt>
                <c:pt idx="1">
                  <c:v>第2次评审</c:v>
                </c:pt>
                <c:pt idx="2">
                  <c:v>第3次评审</c:v>
                </c:pt>
              </c:strCache>
            </c:strRef>
          </c:cat>
          <c:val>
            <c:numRef>
              <c:f>[0]!测试用例评审缺陷密度于画图</c:f>
              <c:numCache>
                <c:formatCode>0.000_ </c:formatCode>
                <c:ptCount val="3"/>
                <c:pt idx="0">
                  <c:v>6.8333333333333329E-2</c:v>
                </c:pt>
                <c:pt idx="1">
                  <c:v>7.9411764705882348E-2</c:v>
                </c:pt>
                <c:pt idx="2">
                  <c:v>7.3333333333333334E-2</c:v>
                </c:pt>
              </c:numCache>
            </c:numRef>
          </c:val>
          <c:smooth val="0"/>
        </c:ser>
        <c:dLbls>
          <c:showLegendKey val="0"/>
          <c:showVal val="0"/>
          <c:showCatName val="0"/>
          <c:showSerName val="0"/>
          <c:showPercent val="0"/>
          <c:showBubbleSize val="0"/>
        </c:dLbls>
        <c:marker val="1"/>
        <c:smooth val="0"/>
        <c:axId val="264585728"/>
        <c:axId val="290130176"/>
      </c:lineChart>
      <c:catAx>
        <c:axId val="264585728"/>
        <c:scaling>
          <c:orientation val="minMax"/>
        </c:scaling>
        <c:delete val="0"/>
        <c:axPos val="b"/>
        <c:numFmt formatCode="General" sourceLinked="1"/>
        <c:majorTickMark val="out"/>
        <c:minorTickMark val="none"/>
        <c:tickLblPos val="low"/>
        <c:crossAx val="290130176"/>
        <c:crosses val="autoZero"/>
        <c:auto val="1"/>
        <c:lblAlgn val="ctr"/>
        <c:lblOffset val="100"/>
        <c:noMultiLvlLbl val="0"/>
      </c:catAx>
      <c:valAx>
        <c:axId val="290130176"/>
        <c:scaling>
          <c:orientation val="minMax"/>
        </c:scaling>
        <c:delete val="0"/>
        <c:axPos val="l"/>
        <c:majorGridlines/>
        <c:numFmt formatCode="0.0000_ " sourceLinked="1"/>
        <c:majorTickMark val="out"/>
        <c:minorTickMark val="none"/>
        <c:tickLblPos val="nextTo"/>
        <c:crossAx val="264585728"/>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过程产出缺陷度量!$L$107</c:f>
              <c:strCache>
                <c:ptCount val="1"/>
                <c:pt idx="0">
                  <c:v>LOL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过程产出缺陷度量!$M$107</c:f>
              <c:strCache>
                <c:ptCount val="1"/>
                <c:pt idx="0">
                  <c:v>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[0]!代码走查缺陷密度的均值于画图</c:f>
              <c:numCache>
                <c:formatCode>0.0000_ </c:formatCode>
                <c:ptCount val="4"/>
                <c:pt idx="0">
                  <c:v>0.3</c:v>
                </c:pt>
                <c:pt idx="1">
                  <c:v>0.3</c:v>
                </c:pt>
                <c:pt idx="2">
                  <c:v>0.3</c:v>
                </c:pt>
                <c:pt idx="3">
                  <c:v>0.3</c:v>
                </c:pt>
              </c:numCache>
            </c:numRef>
          </c:val>
          <c:smooth val="0"/>
        </c:ser>
        <c:ser>
          <c:idx val="2"/>
          <c:order val="2"/>
          <c:tx>
            <c:strRef>
              <c:f>过程产出缺陷度量!$N$107</c:f>
              <c:strCache>
                <c:ptCount val="1"/>
                <c:pt idx="0">
                  <c:v>UOL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[0]!代码走查缺陷密度的上限于画图</c:f>
              <c:numCache>
                <c:formatCode>0.0000_ </c:formatCode>
                <c:ptCount val="4"/>
                <c:pt idx="0">
                  <c:v>0.65790273556231016</c:v>
                </c:pt>
                <c:pt idx="1">
                  <c:v>0.65790273556231016</c:v>
                </c:pt>
                <c:pt idx="2">
                  <c:v>0.65790273556231016</c:v>
                </c:pt>
                <c:pt idx="3">
                  <c:v>0.65790273556231016</c:v>
                </c:pt>
              </c:numCache>
            </c:numRef>
          </c:val>
          <c:smooth val="0"/>
        </c:ser>
        <c:ser>
          <c:idx val="3"/>
          <c:order val="3"/>
          <c:tx>
            <c:v>项目数据</c:v>
          </c:tx>
          <c:cat>
            <c:strRef>
              <c:f>[0]!代码走查次数于画图</c:f>
              <c:strCache>
                <c:ptCount val="4"/>
                <c:pt idx="0">
                  <c:v>第1次走查</c:v>
                </c:pt>
                <c:pt idx="1">
                  <c:v>第2次走查</c:v>
                </c:pt>
                <c:pt idx="2">
                  <c:v>第3次走查</c:v>
                </c:pt>
                <c:pt idx="3">
                  <c:v>第4次走查</c:v>
                </c:pt>
              </c:strCache>
            </c:strRef>
          </c:cat>
          <c:val>
            <c:numRef>
              <c:f>[0]!代码走查缺陷密度于画图</c:f>
              <c:numCache>
                <c:formatCode>0.000_ </c:formatCode>
                <c:ptCount val="4"/>
                <c:pt idx="0">
                  <c:v>0.21249999999999999</c:v>
                </c:pt>
                <c:pt idx="1">
                  <c:v>0.12</c:v>
                </c:pt>
                <c:pt idx="2">
                  <c:v>0.56000000000000005</c:v>
                </c:pt>
                <c:pt idx="3">
                  <c:v>0.5</c:v>
                </c:pt>
              </c:numCache>
            </c:numRef>
          </c:val>
          <c:smooth val="0"/>
        </c:ser>
        <c:dLbls>
          <c:showLegendKey val="0"/>
          <c:showVal val="0"/>
          <c:showCatName val="0"/>
          <c:showSerName val="0"/>
          <c:showPercent val="0"/>
          <c:showBubbleSize val="0"/>
        </c:dLbls>
        <c:marker val="1"/>
        <c:smooth val="0"/>
        <c:axId val="264586752"/>
        <c:axId val="290132480"/>
      </c:lineChart>
      <c:catAx>
        <c:axId val="264586752"/>
        <c:scaling>
          <c:orientation val="minMax"/>
        </c:scaling>
        <c:delete val="0"/>
        <c:axPos val="b"/>
        <c:numFmt formatCode="General" sourceLinked="1"/>
        <c:majorTickMark val="out"/>
        <c:minorTickMark val="none"/>
        <c:tickLblPos val="low"/>
        <c:crossAx val="290132480"/>
        <c:crosses val="autoZero"/>
        <c:auto val="1"/>
        <c:lblAlgn val="ctr"/>
        <c:lblOffset val="100"/>
        <c:noMultiLvlLbl val="0"/>
      </c:catAx>
      <c:valAx>
        <c:axId val="290132480"/>
        <c:scaling>
          <c:orientation val="minMax"/>
        </c:scaling>
        <c:delete val="0"/>
        <c:axPos val="l"/>
        <c:majorGridlines/>
        <c:numFmt formatCode="0.0000_ " sourceLinked="1"/>
        <c:majorTickMark val="out"/>
        <c:minorTickMark val="none"/>
        <c:tickLblPos val="nextTo"/>
        <c:crossAx val="264586752"/>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cat>
            <c:strRef>
              <c:f>测试及验收缺陷度量!$B$45:$B$48</c:f>
              <c:strCache>
                <c:ptCount val="4"/>
                <c:pt idx="0">
                  <c:v>需求阶段</c:v>
                </c:pt>
                <c:pt idx="1">
                  <c:v>设计阶段</c:v>
                </c:pt>
                <c:pt idx="2">
                  <c:v>编码阶段</c:v>
                </c:pt>
                <c:pt idx="3">
                  <c:v>其它</c:v>
                </c:pt>
              </c:strCache>
            </c:strRef>
          </c:cat>
          <c:val>
            <c:numRef>
              <c:f>测试及验收缺陷度量!$C$45:$C$48</c:f>
              <c:numCache>
                <c:formatCode>General</c:formatCode>
                <c:ptCount val="4"/>
                <c:pt idx="0">
                  <c:v>1</c:v>
                </c:pt>
                <c:pt idx="1">
                  <c:v>10</c:v>
                </c:pt>
                <c:pt idx="2">
                  <c:v>3</c:v>
                </c:pt>
                <c:pt idx="3">
                  <c:v>0</c:v>
                </c:pt>
              </c:numCache>
            </c:numRef>
          </c:val>
        </c:ser>
        <c:dLbls>
          <c:showLegendKey val="0"/>
          <c:showVal val="0"/>
          <c:showCatName val="0"/>
          <c:showSerName val="0"/>
          <c:showPercent val="0"/>
          <c:showBubbleSize val="0"/>
        </c:dLbls>
        <c:gapWidth val="150"/>
        <c:axId val="265569792"/>
        <c:axId val="293529280"/>
      </c:barChart>
      <c:catAx>
        <c:axId val="265569792"/>
        <c:scaling>
          <c:orientation val="minMax"/>
        </c:scaling>
        <c:delete val="0"/>
        <c:axPos val="b"/>
        <c:numFmt formatCode="General" sourceLinked="1"/>
        <c:majorTickMark val="none"/>
        <c:minorTickMark val="none"/>
        <c:tickLblPos val="nextTo"/>
        <c:crossAx val="293529280"/>
        <c:crosses val="autoZero"/>
        <c:auto val="1"/>
        <c:lblAlgn val="ctr"/>
        <c:lblOffset val="100"/>
        <c:noMultiLvlLbl val="0"/>
      </c:catAx>
      <c:valAx>
        <c:axId val="293529280"/>
        <c:scaling>
          <c:orientation val="minMax"/>
        </c:scaling>
        <c:delete val="0"/>
        <c:axPos val="l"/>
        <c:majorGridlines/>
        <c:numFmt formatCode="General" sourceLinked="1"/>
        <c:majorTickMark val="none"/>
        <c:minorTickMark val="none"/>
        <c:tickLblPos val="nextTo"/>
        <c:crossAx val="265569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测试及验收缺陷度量!$B$55:$B$59</c:f>
              <c:strCache>
                <c:ptCount val="5"/>
                <c:pt idx="0">
                  <c:v>页面</c:v>
                </c:pt>
                <c:pt idx="1">
                  <c:v>脚本</c:v>
                </c:pt>
                <c:pt idx="2">
                  <c:v>后台代码</c:v>
                </c:pt>
                <c:pt idx="3">
                  <c:v>运行环境</c:v>
                </c:pt>
                <c:pt idx="4">
                  <c:v>其它</c:v>
                </c:pt>
              </c:strCache>
            </c:strRef>
          </c:cat>
          <c:val>
            <c:numRef>
              <c:f>测试及验收缺陷度量!$C$55:$C$59</c:f>
              <c:numCache>
                <c:formatCode>General</c:formatCode>
                <c:ptCount val="5"/>
                <c:pt idx="0">
                  <c:v>1</c:v>
                </c:pt>
                <c:pt idx="1">
                  <c:v>10</c:v>
                </c:pt>
                <c:pt idx="2">
                  <c:v>3</c:v>
                </c:pt>
                <c:pt idx="3">
                  <c:v>10</c:v>
                </c:pt>
                <c:pt idx="4">
                  <c:v>2</c:v>
                </c:pt>
              </c:numCache>
            </c:numRef>
          </c:val>
        </c:ser>
        <c:dLbls>
          <c:showLegendKey val="0"/>
          <c:showVal val="0"/>
          <c:showCatName val="0"/>
          <c:showSerName val="0"/>
          <c:showPercent val="0"/>
          <c:showBubbleSize val="0"/>
        </c:dLbls>
        <c:gapWidth val="150"/>
        <c:axId val="265570816"/>
        <c:axId val="293531008"/>
      </c:barChart>
      <c:catAx>
        <c:axId val="265570816"/>
        <c:scaling>
          <c:orientation val="minMax"/>
        </c:scaling>
        <c:delete val="0"/>
        <c:axPos val="b"/>
        <c:numFmt formatCode="General" sourceLinked="1"/>
        <c:majorTickMark val="none"/>
        <c:minorTickMark val="none"/>
        <c:tickLblPos val="nextTo"/>
        <c:crossAx val="293531008"/>
        <c:crosses val="autoZero"/>
        <c:auto val="1"/>
        <c:lblAlgn val="ctr"/>
        <c:lblOffset val="100"/>
        <c:noMultiLvlLbl val="0"/>
      </c:catAx>
      <c:valAx>
        <c:axId val="293531008"/>
        <c:scaling>
          <c:orientation val="minMax"/>
        </c:scaling>
        <c:delete val="0"/>
        <c:axPos val="l"/>
        <c:majorGridlines/>
        <c:numFmt formatCode="General" sourceLinked="1"/>
        <c:majorTickMark val="none"/>
        <c:minorTickMark val="none"/>
        <c:tickLblPos val="nextTo"/>
        <c:crossAx val="265570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测试及验收缺陷度量!$B$67:$B$73</c:f>
              <c:strCache>
                <c:ptCount val="7"/>
                <c:pt idx="0">
                  <c:v>需求方面</c:v>
                </c:pt>
                <c:pt idx="1">
                  <c:v>界面错误</c:v>
                </c:pt>
                <c:pt idx="2">
                  <c:v>功能性错误</c:v>
                </c:pt>
                <c:pt idx="3">
                  <c:v>数据源错误</c:v>
                </c:pt>
                <c:pt idx="4">
                  <c:v>性能方面</c:v>
                </c:pt>
                <c:pt idx="5">
                  <c:v>接口问题</c:v>
                </c:pt>
                <c:pt idx="6">
                  <c:v>辅助工具</c:v>
                </c:pt>
              </c:strCache>
            </c:strRef>
          </c:cat>
          <c:val>
            <c:numRef>
              <c:f>测试及验收缺陷度量!$C$67:$C$73</c:f>
              <c:numCache>
                <c:formatCode>General</c:formatCode>
                <c:ptCount val="7"/>
                <c:pt idx="0">
                  <c:v>1</c:v>
                </c:pt>
                <c:pt idx="1">
                  <c:v>3</c:v>
                </c:pt>
                <c:pt idx="2">
                  <c:v>4</c:v>
                </c:pt>
                <c:pt idx="3">
                  <c:v>5</c:v>
                </c:pt>
                <c:pt idx="4">
                  <c:v>9</c:v>
                </c:pt>
                <c:pt idx="5">
                  <c:v>10</c:v>
                </c:pt>
                <c:pt idx="6">
                  <c:v>12</c:v>
                </c:pt>
              </c:numCache>
            </c:numRef>
          </c:val>
        </c:ser>
        <c:dLbls>
          <c:showLegendKey val="0"/>
          <c:showVal val="0"/>
          <c:showCatName val="0"/>
          <c:showSerName val="0"/>
          <c:showPercent val="0"/>
          <c:showBubbleSize val="0"/>
        </c:dLbls>
        <c:gapWidth val="150"/>
        <c:axId val="265571840"/>
        <c:axId val="293532736"/>
      </c:barChart>
      <c:catAx>
        <c:axId val="265571840"/>
        <c:scaling>
          <c:orientation val="minMax"/>
        </c:scaling>
        <c:delete val="0"/>
        <c:axPos val="b"/>
        <c:numFmt formatCode="General" sourceLinked="1"/>
        <c:majorTickMark val="none"/>
        <c:minorTickMark val="none"/>
        <c:tickLblPos val="nextTo"/>
        <c:crossAx val="293532736"/>
        <c:crosses val="autoZero"/>
        <c:auto val="1"/>
        <c:lblAlgn val="ctr"/>
        <c:lblOffset val="100"/>
        <c:noMultiLvlLbl val="0"/>
      </c:catAx>
      <c:valAx>
        <c:axId val="293532736"/>
        <c:scaling>
          <c:orientation val="minMax"/>
        </c:scaling>
        <c:delete val="0"/>
        <c:axPos val="l"/>
        <c:majorGridlines/>
        <c:numFmt formatCode="General" sourceLinked="1"/>
        <c:majorTickMark val="none"/>
        <c:minorTickMark val="none"/>
        <c:tickLblPos val="nextTo"/>
        <c:crossAx val="265571840"/>
        <c:crosses val="autoZero"/>
        <c:crossBetween val="between"/>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测试及验收缺陷度量!$L$9</c:f>
              <c:strCache>
                <c:ptCount val="1"/>
                <c:pt idx="0">
                  <c:v>LOL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[0]!测试加权缺陷密度的下限于画图</c:f>
              <c:numCache>
                <c:formatCode>0.0000_ </c:formatCode>
                <c:ptCount val="4"/>
                <c:pt idx="0">
                  <c:v>0</c:v>
                </c:pt>
                <c:pt idx="1">
                  <c:v>0</c:v>
                </c:pt>
                <c:pt idx="2">
                  <c:v>0</c:v>
                </c:pt>
                <c:pt idx="3">
                  <c:v>0</c:v>
                </c:pt>
              </c:numCache>
            </c:numRef>
          </c:val>
          <c:smooth val="0"/>
        </c:ser>
        <c:ser>
          <c:idx val="1"/>
          <c:order val="1"/>
          <c:tx>
            <c:strRef>
              <c:f>测试及验收缺陷度量!$M$9</c:f>
              <c:strCache>
                <c:ptCount val="1"/>
                <c:pt idx="0">
                  <c:v>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[0]!测试加权缺陷密度的均值于画图</c:f>
              <c:numCache>
                <c:formatCode>0.0000_ </c:formatCode>
                <c:ptCount val="4"/>
                <c:pt idx="0">
                  <c:v>0.51200000000000001</c:v>
                </c:pt>
                <c:pt idx="1">
                  <c:v>0.51200000000000001</c:v>
                </c:pt>
                <c:pt idx="2">
                  <c:v>0.51200000000000001</c:v>
                </c:pt>
                <c:pt idx="3">
                  <c:v>0.51200000000000001</c:v>
                </c:pt>
              </c:numCache>
            </c:numRef>
          </c:val>
          <c:smooth val="0"/>
        </c:ser>
        <c:ser>
          <c:idx val="2"/>
          <c:order val="2"/>
          <c:tx>
            <c:strRef>
              <c:f>测试及验收缺陷度量!$N$9</c:f>
              <c:strCache>
                <c:ptCount val="1"/>
                <c:pt idx="0">
                  <c:v>UOL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[0]!测试加权缺陷密度的上限于画图</c:f>
              <c:numCache>
                <c:formatCode>0.0000_ </c:formatCode>
                <c:ptCount val="4"/>
                <c:pt idx="0">
                  <c:v>1.452</c:v>
                </c:pt>
                <c:pt idx="1">
                  <c:v>1.452</c:v>
                </c:pt>
                <c:pt idx="2">
                  <c:v>1.452</c:v>
                </c:pt>
                <c:pt idx="3">
                  <c:v>1.452</c:v>
                </c:pt>
              </c:numCache>
            </c:numRef>
          </c:val>
          <c:smooth val="0"/>
        </c:ser>
        <c:ser>
          <c:idx val="3"/>
          <c:order val="3"/>
          <c:tx>
            <c:v>项目数据</c:v>
          </c:tx>
          <c:cat>
            <c:strRef>
              <c:f>[0]!测试轮次于画图</c:f>
              <c:strCache>
                <c:ptCount val="4"/>
                <c:pt idx="0">
                  <c:v>测试第1轮</c:v>
                </c:pt>
                <c:pt idx="1">
                  <c:v>测试第2轮</c:v>
                </c:pt>
                <c:pt idx="2">
                  <c:v>测试第3轮</c:v>
                </c:pt>
                <c:pt idx="3">
                  <c:v>测试第4轮</c:v>
                </c:pt>
              </c:strCache>
            </c:strRef>
          </c:cat>
          <c:val>
            <c:numRef>
              <c:f>[0]!测试加权缺陷密度于画图</c:f>
              <c:numCache>
                <c:formatCode>0.000_);[Red]\(0.000\)</c:formatCode>
                <c:ptCount val="4"/>
                <c:pt idx="0">
                  <c:v>0.93</c:v>
                </c:pt>
                <c:pt idx="1">
                  <c:v>0.78714285714285714</c:v>
                </c:pt>
                <c:pt idx="2">
                  <c:v>0.24125000000000002</c:v>
                </c:pt>
                <c:pt idx="3">
                  <c:v>0.2</c:v>
                </c:pt>
              </c:numCache>
            </c:numRef>
          </c:val>
          <c:smooth val="0"/>
        </c:ser>
        <c:dLbls>
          <c:showLegendKey val="0"/>
          <c:showVal val="0"/>
          <c:showCatName val="0"/>
          <c:showSerName val="0"/>
          <c:showPercent val="0"/>
          <c:showBubbleSize val="0"/>
        </c:dLbls>
        <c:marker val="1"/>
        <c:smooth val="0"/>
        <c:axId val="265593856"/>
        <c:axId val="293534464"/>
      </c:lineChart>
      <c:catAx>
        <c:axId val="265593856"/>
        <c:scaling>
          <c:orientation val="minMax"/>
        </c:scaling>
        <c:delete val="0"/>
        <c:axPos val="b"/>
        <c:numFmt formatCode="General" sourceLinked="1"/>
        <c:majorTickMark val="out"/>
        <c:minorTickMark val="none"/>
        <c:tickLblPos val="low"/>
        <c:crossAx val="293534464"/>
        <c:crosses val="autoZero"/>
        <c:auto val="1"/>
        <c:lblAlgn val="ctr"/>
        <c:lblOffset val="100"/>
        <c:noMultiLvlLbl val="0"/>
      </c:catAx>
      <c:valAx>
        <c:axId val="293534464"/>
        <c:scaling>
          <c:orientation val="minMax"/>
        </c:scaling>
        <c:delete val="0"/>
        <c:axPos val="l"/>
        <c:majorGridlines/>
        <c:numFmt formatCode="0.0000_ " sourceLinked="1"/>
        <c:majorTickMark val="out"/>
        <c:minorTickMark val="none"/>
        <c:tickLblPos val="nextTo"/>
        <c:crossAx val="265593856"/>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dPt>
          <c:cat>
            <c:strRef>
              <c:f>人员统计!$A$36:$A$40</c:f>
              <c:strCache>
                <c:ptCount val="5"/>
                <c:pt idx="0">
                  <c:v>需求阶段</c:v>
                </c:pt>
                <c:pt idx="1">
                  <c:v>设计阶段</c:v>
                </c:pt>
                <c:pt idx="2">
                  <c:v>编码阶段</c:v>
                </c:pt>
                <c:pt idx="3">
                  <c:v>测试阶段</c:v>
                </c:pt>
                <c:pt idx="4">
                  <c:v>验收阶段</c:v>
                </c:pt>
              </c:strCache>
            </c:strRef>
          </c:cat>
          <c:val>
            <c:numRef>
              <c:f>人员统计!$B$36:$B$40</c:f>
              <c:numCache>
                <c:formatCode>General</c:formatCode>
                <c:ptCount val="5"/>
                <c:pt idx="0">
                  <c:v>10</c:v>
                </c:pt>
                <c:pt idx="1">
                  <c:v>10</c:v>
                </c:pt>
                <c:pt idx="2">
                  <c:v>10</c:v>
                </c:pt>
                <c:pt idx="3">
                  <c:v>10</c:v>
                </c:pt>
                <c:pt idx="4">
                  <c:v>10</c:v>
                </c:pt>
              </c:numCache>
            </c:numRef>
          </c:val>
        </c:ser>
        <c:ser>
          <c:idx val="1"/>
          <c:order val="1"/>
          <c:tx>
            <c:v>实际</c:v>
          </c:tx>
          <c:invertIfNegative val="0"/>
          <c:cat>
            <c:strRef>
              <c:f>人员统计!$A$36:$A$40</c:f>
              <c:strCache>
                <c:ptCount val="5"/>
                <c:pt idx="0">
                  <c:v>需求阶段</c:v>
                </c:pt>
                <c:pt idx="1">
                  <c:v>设计阶段</c:v>
                </c:pt>
                <c:pt idx="2">
                  <c:v>编码阶段</c:v>
                </c:pt>
                <c:pt idx="3">
                  <c:v>测试阶段</c:v>
                </c:pt>
                <c:pt idx="4">
                  <c:v>验收阶段</c:v>
                </c:pt>
              </c:strCache>
            </c:strRef>
          </c:cat>
          <c:val>
            <c:numRef>
              <c:f>人员统计!$C$36:$C$40</c:f>
              <c:numCache>
                <c:formatCode>General</c:formatCode>
                <c:ptCount val="5"/>
                <c:pt idx="0">
                  <c:v>5</c:v>
                </c:pt>
                <c:pt idx="1">
                  <c:v>3</c:v>
                </c:pt>
                <c:pt idx="2">
                  <c:v>2</c:v>
                </c:pt>
                <c:pt idx="3">
                  <c:v>1</c:v>
                </c:pt>
                <c:pt idx="4">
                  <c:v>3</c:v>
                </c:pt>
              </c:numCache>
            </c:numRef>
          </c:val>
        </c:ser>
        <c:dLbls>
          <c:showLegendKey val="0"/>
          <c:showVal val="0"/>
          <c:showCatName val="0"/>
          <c:showSerName val="0"/>
          <c:showPercent val="0"/>
          <c:showBubbleSize val="0"/>
        </c:dLbls>
        <c:gapWidth val="150"/>
        <c:axId val="265571328"/>
        <c:axId val="224593600"/>
      </c:barChart>
      <c:catAx>
        <c:axId val="265571328"/>
        <c:scaling>
          <c:orientation val="minMax"/>
        </c:scaling>
        <c:delete val="0"/>
        <c:axPos val="b"/>
        <c:numFmt formatCode="General" sourceLinked="1"/>
        <c:majorTickMark val="none"/>
        <c:minorTickMark val="none"/>
        <c:tickLblPos val="nextTo"/>
        <c:txPr>
          <a:bodyPr/>
          <a:lstStyle/>
          <a:p>
            <a:pPr>
              <a:defRPr sz="1000"/>
            </a:pPr>
            <a:endParaRPr lang="zh-CN"/>
          </a:p>
        </c:txPr>
        <c:crossAx val="224593600"/>
        <c:crosses val="autoZero"/>
        <c:auto val="1"/>
        <c:lblAlgn val="ctr"/>
        <c:lblOffset val="100"/>
        <c:noMultiLvlLbl val="0"/>
      </c:catAx>
      <c:valAx>
        <c:axId val="224593600"/>
        <c:scaling>
          <c:orientation val="minMax"/>
        </c:scaling>
        <c:delete val="0"/>
        <c:axPos val="l"/>
        <c:majorGridlines/>
        <c:numFmt formatCode="General" sourceLinked="1"/>
        <c:majorTickMark val="none"/>
        <c:minorTickMark val="none"/>
        <c:tickLblPos val="nextTo"/>
        <c:crossAx val="265571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各阶段人员变动率</a:t>
            </a:r>
          </a:p>
        </c:rich>
      </c:tx>
      <c:overlay val="0"/>
    </c:title>
    <c:autoTitleDeleted val="0"/>
    <c:plotArea>
      <c:layout/>
      <c:lineChart>
        <c:grouping val="standard"/>
        <c:varyColors val="0"/>
        <c:ser>
          <c:idx val="0"/>
          <c:order val="0"/>
          <c:tx>
            <c:v>变动率</c:v>
          </c:tx>
          <c:marker>
            <c:symbol val="none"/>
          </c:marker>
          <c:cat>
            <c:strRef>
              <c:f>人员统计!$J$47:$J$51</c:f>
              <c:strCache>
                <c:ptCount val="5"/>
                <c:pt idx="0">
                  <c:v>需求阶段</c:v>
                </c:pt>
                <c:pt idx="1">
                  <c:v>设计阶段</c:v>
                </c:pt>
                <c:pt idx="2">
                  <c:v>编码阶段</c:v>
                </c:pt>
                <c:pt idx="3">
                  <c:v>测试阶段</c:v>
                </c:pt>
                <c:pt idx="4">
                  <c:v>验收阶段</c:v>
                </c:pt>
              </c:strCache>
            </c:strRef>
          </c:cat>
          <c:val>
            <c:numRef>
              <c:f>人员统计!$K$40:$K$44</c:f>
              <c:numCache>
                <c:formatCode>0.00_ </c:formatCode>
                <c:ptCount val="5"/>
                <c:pt idx="0">
                  <c:v>0.3</c:v>
                </c:pt>
                <c:pt idx="1">
                  <c:v>0.27272727272727271</c:v>
                </c:pt>
                <c:pt idx="2">
                  <c:v>0.33333333333333331</c:v>
                </c:pt>
                <c:pt idx="3">
                  <c:v>0.5</c:v>
                </c:pt>
                <c:pt idx="4">
                  <c:v>0.15789473684210525</c:v>
                </c:pt>
              </c:numCache>
            </c:numRef>
          </c:val>
          <c:smooth val="0"/>
        </c:ser>
        <c:dLbls>
          <c:showLegendKey val="0"/>
          <c:showVal val="0"/>
          <c:showCatName val="0"/>
          <c:showSerName val="0"/>
          <c:showPercent val="0"/>
          <c:showBubbleSize val="0"/>
        </c:dLbls>
        <c:marker val="1"/>
        <c:smooth val="0"/>
        <c:axId val="123894272"/>
        <c:axId val="224595328"/>
      </c:lineChart>
      <c:catAx>
        <c:axId val="123894272"/>
        <c:scaling>
          <c:orientation val="minMax"/>
        </c:scaling>
        <c:delete val="0"/>
        <c:axPos val="b"/>
        <c:numFmt formatCode="General" sourceLinked="1"/>
        <c:majorTickMark val="none"/>
        <c:minorTickMark val="none"/>
        <c:tickLblPos val="nextTo"/>
        <c:crossAx val="224595328"/>
        <c:crosses val="autoZero"/>
        <c:auto val="1"/>
        <c:lblAlgn val="ctr"/>
        <c:lblOffset val="100"/>
        <c:noMultiLvlLbl val="0"/>
      </c:catAx>
      <c:valAx>
        <c:axId val="224595328"/>
        <c:scaling>
          <c:orientation val="minMax"/>
        </c:scaling>
        <c:delete val="0"/>
        <c:axPos val="l"/>
        <c:majorGridlines/>
        <c:title>
          <c:overlay val="0"/>
        </c:title>
        <c:numFmt formatCode="0.00_ " sourceLinked="1"/>
        <c:majorTickMark val="none"/>
        <c:minorTickMark val="none"/>
        <c:tickLblPos val="nextTo"/>
        <c:crossAx val="123894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各阶段稼动率</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人员统计!$I$61:$I$65</c:f>
              <c:strCache>
                <c:ptCount val="5"/>
                <c:pt idx="0">
                  <c:v>需求阶段</c:v>
                </c:pt>
                <c:pt idx="1">
                  <c:v>设计阶段</c:v>
                </c:pt>
                <c:pt idx="2">
                  <c:v>编码阶段</c:v>
                </c:pt>
                <c:pt idx="3">
                  <c:v>测试阶段</c:v>
                </c:pt>
                <c:pt idx="4">
                  <c:v>验收阶段</c:v>
                </c:pt>
              </c:strCache>
            </c:strRef>
          </c:cat>
          <c:val>
            <c:numRef>
              <c:f>人员统计!$K$54:$K$58</c:f>
              <c:numCache>
                <c:formatCode>0.00_ </c:formatCode>
                <c:ptCount val="5"/>
                <c:pt idx="0">
                  <c:v>0.96753533179243789</c:v>
                </c:pt>
                <c:pt idx="1">
                  <c:v>1.2517972212910196</c:v>
                </c:pt>
                <c:pt idx="2">
                  <c:v>1.4107721533132196</c:v>
                </c:pt>
                <c:pt idx="3">
                  <c:v>0.94842999217789725</c:v>
                </c:pt>
                <c:pt idx="4">
                  <c:v>0.94636272209185368</c:v>
                </c:pt>
              </c:numCache>
            </c:numRef>
          </c:val>
        </c:ser>
        <c:dLbls>
          <c:showLegendKey val="0"/>
          <c:showVal val="0"/>
          <c:showCatName val="0"/>
          <c:showSerName val="0"/>
          <c:showPercent val="0"/>
          <c:showBubbleSize val="0"/>
        </c:dLbls>
        <c:gapWidth val="150"/>
        <c:axId val="265620992"/>
        <c:axId val="224597056"/>
      </c:barChart>
      <c:catAx>
        <c:axId val="265620992"/>
        <c:scaling>
          <c:orientation val="minMax"/>
        </c:scaling>
        <c:delete val="0"/>
        <c:axPos val="b"/>
        <c:numFmt formatCode="General" sourceLinked="1"/>
        <c:majorTickMark val="none"/>
        <c:minorTickMark val="none"/>
        <c:tickLblPos val="nextTo"/>
        <c:crossAx val="224597056"/>
        <c:crosses val="autoZero"/>
        <c:auto val="1"/>
        <c:lblAlgn val="ctr"/>
        <c:lblOffset val="100"/>
        <c:noMultiLvlLbl val="0"/>
      </c:catAx>
      <c:valAx>
        <c:axId val="224597056"/>
        <c:scaling>
          <c:orientation val="minMax"/>
        </c:scaling>
        <c:delete val="0"/>
        <c:axPos val="l"/>
        <c:majorGridlines/>
        <c:numFmt formatCode="0.00_ " sourceLinked="1"/>
        <c:majorTickMark val="none"/>
        <c:minorTickMark val="none"/>
        <c:tickLblPos val="nextTo"/>
        <c:crossAx val="265620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各角色技能系数</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人员统计!$B$28:$J$28</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人员统计!$B$29:$J$29</c:f>
              <c:numCache>
                <c:formatCode>0.00_);[Red]\(0.00\)</c:formatCode>
                <c:ptCount val="9"/>
                <c:pt idx="0">
                  <c:v>1.6</c:v>
                </c:pt>
                <c:pt idx="1">
                  <c:v>1</c:v>
                </c:pt>
                <c:pt idx="2">
                  <c:v>1</c:v>
                </c:pt>
                <c:pt idx="3">
                  <c:v>1.1833333333333333</c:v>
                </c:pt>
                <c:pt idx="4">
                  <c:v>0.98333333333333339</c:v>
                </c:pt>
                <c:pt idx="5">
                  <c:v>1</c:v>
                </c:pt>
                <c:pt idx="6">
                  <c:v>0</c:v>
                </c:pt>
                <c:pt idx="7">
                  <c:v>1</c:v>
                </c:pt>
                <c:pt idx="8">
                  <c:v>1</c:v>
                </c:pt>
              </c:numCache>
            </c:numRef>
          </c:val>
        </c:ser>
        <c:dLbls>
          <c:showLegendKey val="0"/>
          <c:showVal val="0"/>
          <c:showCatName val="0"/>
          <c:showSerName val="0"/>
          <c:showPercent val="0"/>
          <c:showBubbleSize val="0"/>
        </c:dLbls>
        <c:gapWidth val="150"/>
        <c:axId val="280121344"/>
        <c:axId val="224598784"/>
      </c:barChart>
      <c:catAx>
        <c:axId val="280121344"/>
        <c:scaling>
          <c:orientation val="minMax"/>
        </c:scaling>
        <c:delete val="0"/>
        <c:axPos val="b"/>
        <c:numFmt formatCode="General" sourceLinked="1"/>
        <c:majorTickMark val="none"/>
        <c:minorTickMark val="none"/>
        <c:tickLblPos val="nextTo"/>
        <c:crossAx val="224598784"/>
        <c:crosses val="autoZero"/>
        <c:auto val="1"/>
        <c:lblAlgn val="ctr"/>
        <c:lblOffset val="100"/>
        <c:noMultiLvlLbl val="0"/>
      </c:catAx>
      <c:valAx>
        <c:axId val="224598784"/>
        <c:scaling>
          <c:orientation val="minMax"/>
        </c:scaling>
        <c:delete val="0"/>
        <c:axPos val="l"/>
        <c:majorGridlines/>
        <c:numFmt formatCode="0.00_);[Red]\(0.00\)" sourceLinked="1"/>
        <c:majorTickMark val="none"/>
        <c:minorTickMark val="none"/>
        <c:tickLblPos val="nextTo"/>
        <c:crossAx val="280121344"/>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chemeClr val="tx2"/>
                </a:solidFill>
                <a:latin typeface="宋体"/>
                <a:ea typeface="宋体"/>
                <a:cs typeface="宋体"/>
              </a:defRPr>
            </a:pPr>
            <a:r>
              <a:rPr lang="zh-CN" altLang="en-US" sz="1400" b="1">
                <a:solidFill>
                  <a:schemeClr val="bg1"/>
                </a:solidFill>
                <a:latin typeface="微软雅黑" pitchFamily="34" charset="-122"/>
                <a:ea typeface="微软雅黑" pitchFamily="34" charset="-122"/>
              </a:rPr>
              <a:t>集成测试缺陷密度控制图</a:t>
            </a:r>
          </a:p>
        </c:rich>
      </c:tx>
      <c:layout>
        <c:manualLayout>
          <c:xMode val="edge"/>
          <c:yMode val="edge"/>
          <c:x val="0.31061186500623594"/>
          <c:y val="3.3063808200445528E-2"/>
        </c:manualLayout>
      </c:layout>
      <c:overlay val="0"/>
      <c:spPr>
        <a:noFill/>
        <a:ln w="25400">
          <a:noFill/>
        </a:ln>
      </c:spPr>
    </c:title>
    <c:autoTitleDeleted val="0"/>
    <c:plotArea>
      <c:layout>
        <c:manualLayout>
          <c:layoutTarget val="inner"/>
          <c:xMode val="edge"/>
          <c:yMode val="edge"/>
          <c:x val="0.10070925473364603"/>
          <c:y val="0.27205955611165517"/>
          <c:w val="0.76312083164368461"/>
          <c:h val="0.56250151466328735"/>
        </c:manualLayout>
      </c:layout>
      <c:lineChart>
        <c:grouping val="standard"/>
        <c:varyColors val="0"/>
        <c:ser>
          <c:idx val="0"/>
          <c:order val="0"/>
          <c:tx>
            <c:v>UOL</c:v>
          </c:tx>
          <c:spPr>
            <a:ln w="25400">
              <a:solidFill>
                <a:srgbClr val="FFFF00"/>
              </a:solidFill>
              <a:prstDash val="soli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[2]质量!$E$90:$I$90</c:f>
              <c:numCache>
                <c:formatCode>General</c:formatCode>
                <c:ptCount val="5"/>
                <c:pt idx="0">
                  <c:v>0</c:v>
                </c:pt>
                <c:pt idx="1">
                  <c:v>0</c:v>
                </c:pt>
                <c:pt idx="2">
                  <c:v>0</c:v>
                </c:pt>
                <c:pt idx="3">
                  <c:v>0</c:v>
                </c:pt>
                <c:pt idx="4">
                  <c:v>0</c:v>
                </c:pt>
              </c:numCache>
            </c:numRef>
          </c:val>
          <c:smooth val="0"/>
        </c:ser>
        <c:ser>
          <c:idx val="1"/>
          <c:order val="1"/>
          <c:tx>
            <c:v>OL</c:v>
          </c:tx>
          <c:spPr>
            <a:ln w="25400">
              <a:solidFill>
                <a:srgbClr val="FFC000"/>
              </a:solidFill>
              <a:prstDash val="soli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[2]质量!$E$91:$I$91</c:f>
              <c:numCache>
                <c:formatCode>General</c:formatCode>
                <c:ptCount val="5"/>
                <c:pt idx="0">
                  <c:v>0</c:v>
                </c:pt>
                <c:pt idx="1">
                  <c:v>0</c:v>
                </c:pt>
                <c:pt idx="2">
                  <c:v>0</c:v>
                </c:pt>
                <c:pt idx="3">
                  <c:v>0</c:v>
                </c:pt>
                <c:pt idx="4">
                  <c:v>0</c:v>
                </c:pt>
              </c:numCache>
            </c:numRef>
          </c:val>
          <c:smooth val="0"/>
        </c:ser>
        <c:ser>
          <c:idx val="2"/>
          <c:order val="2"/>
          <c:tx>
            <c:v>LOL</c:v>
          </c:tx>
          <c:spPr>
            <a:ln w="25400">
              <a:solidFill>
                <a:srgbClr val="FFFF00"/>
              </a:solidFill>
              <a:prstDash val="soli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[2]质量!$E$92:$I$92</c:f>
              <c:numCache>
                <c:formatCode>General</c:formatCode>
                <c:ptCount val="5"/>
                <c:pt idx="0">
                  <c:v>0</c:v>
                </c:pt>
                <c:pt idx="1">
                  <c:v>0</c:v>
                </c:pt>
                <c:pt idx="2">
                  <c:v>0</c:v>
                </c:pt>
                <c:pt idx="3">
                  <c:v>0</c:v>
                </c:pt>
                <c:pt idx="4">
                  <c:v>0</c:v>
                </c:pt>
              </c:numCache>
            </c:numRef>
          </c:val>
          <c:smooth val="0"/>
        </c:ser>
        <c:ser>
          <c:idx val="3"/>
          <c:order val="3"/>
          <c:tx>
            <c:v>项目数据</c:v>
          </c:tx>
          <c:spPr>
            <a:ln w="25400">
              <a:solidFill>
                <a:srgbClr val="FF0000"/>
              </a:solidFill>
              <a:prstDash val="solid"/>
            </a:ln>
          </c:spPr>
          <c:marker>
            <c:symbol val="triangle"/>
            <c:size val="3"/>
            <c:spPr>
              <a:solidFill>
                <a:srgbClr val="0000FF"/>
              </a:solidFill>
              <a:ln>
                <a:solidFill>
                  <a:srgbClr val="0000FF"/>
                </a:solidFill>
                <a:prstDash val="solid"/>
              </a:ln>
            </c:spPr>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[2]质量!$E$88:$I$88</c:f>
              <c:numCache>
                <c:formatCode>General</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280123392"/>
        <c:axId val="224838784"/>
      </c:lineChart>
      <c:catAx>
        <c:axId val="280123392"/>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宋体"/>
                <a:ea typeface="宋体"/>
                <a:cs typeface="宋体"/>
              </a:defRPr>
            </a:pPr>
            <a:endParaRPr lang="zh-CN"/>
          </a:p>
        </c:txPr>
        <c:crossAx val="224838784"/>
        <c:crossesAt val="-0.15000000000000024"/>
        <c:auto val="1"/>
        <c:lblAlgn val="ctr"/>
        <c:lblOffset val="100"/>
        <c:tickLblSkip val="1"/>
        <c:tickMarkSkip val="1"/>
        <c:noMultiLvlLbl val="0"/>
      </c:catAx>
      <c:valAx>
        <c:axId val="224838784"/>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宋体"/>
                <a:ea typeface="宋体"/>
                <a:cs typeface="宋体"/>
              </a:defRPr>
            </a:pPr>
            <a:endParaRPr lang="zh-CN"/>
          </a:p>
        </c:txPr>
        <c:crossAx val="280123392"/>
        <c:crosses val="autoZero"/>
        <c:crossBetween val="between"/>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chemeClr val="accent1"/>
          </a:solidFill>
          <a:prstDash val="solid"/>
        </a:ln>
        <a:effectLst>
          <a:glow rad="101600">
            <a:schemeClr val="accent1">
              <a:satMod val="175000"/>
              <a:alpha val="32000"/>
            </a:schemeClr>
          </a:glow>
          <a:outerShdw blurRad="50800" dist="38100" dir="2700000" algn="tl" rotWithShape="0">
            <a:schemeClr val="accent1">
              <a:alpha val="40000"/>
            </a:schemeClr>
          </a:outerShdw>
          <a:softEdge rad="12700"/>
        </a:effectLst>
        <a:scene3d>
          <a:camera prst="orthographicFront"/>
          <a:lightRig rig="threePt" dir="t"/>
        </a:scene3d>
        <a:sp3d/>
      </c:spPr>
    </c:plotArea>
    <c:legend>
      <c:legendPos val="r"/>
      <c:layout>
        <c:manualLayout>
          <c:xMode val="edge"/>
          <c:yMode val="edge"/>
          <c:x val="0.86241171981161935"/>
          <c:y val="0.30882463221509077"/>
          <c:w val="0.12340425531914889"/>
          <c:h val="0.4816189152826485"/>
        </c:manualLayout>
      </c:layout>
      <c:overlay val="0"/>
      <c:spPr>
        <a:noFill/>
        <a:ln w="25400">
          <a:noFill/>
        </a:ln>
      </c:spPr>
      <c:txPr>
        <a:bodyPr/>
        <a:lstStyle/>
        <a:p>
          <a:pPr>
            <a:defRPr sz="850" b="0" i="0" u="none" strike="noStrike" baseline="0">
              <a:solidFill>
                <a:srgbClr val="000000"/>
              </a:solidFill>
              <a:latin typeface="宋体"/>
              <a:ea typeface="宋体"/>
              <a:cs typeface="宋体"/>
            </a:defRPr>
          </a:pPr>
          <a:endParaRPr lang="zh-CN"/>
        </a:p>
      </c:txPr>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3175" cmpd="dbl">
      <a:noFill/>
      <a:prstDash val="solid"/>
    </a:ln>
    <a:effectLst>
      <a:outerShdw blurRad="50800" dist="38100" dir="2700000" algn="tl" rotWithShape="0">
        <a:prstClr val="black">
          <a:alpha val="40000"/>
        </a:prstClr>
      </a:outerShdw>
    </a:effectLst>
  </c:spPr>
  <c:txPr>
    <a:bodyPr/>
    <a:lstStyle/>
    <a:p>
      <a:pPr>
        <a:defRPr sz="925" b="0" i="0" u="none" strike="noStrike" baseline="0">
          <a:solidFill>
            <a:srgbClr val="000000"/>
          </a:solidFill>
          <a:latin typeface="宋体"/>
          <a:ea typeface="宋体"/>
          <a:cs typeface="宋体"/>
        </a:defRPr>
      </a:pPr>
      <a:endParaRPr lang="zh-CN"/>
    </a:p>
  </c:txPr>
  <c:printSettings>
    <c:headerFooter/>
    <c:pageMargins b="0.75000000000000167" l="0.70000000000000062" r="0.70000000000000062" t="0.75000000000000167" header="0.30000000000000032" footer="0.30000000000000032"/>
    <c:pageSetup paperSize="9" orientation="landscape" horizontalDpi="0" verticalDpi="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285750</xdr:colOff>
      <xdr:row>3</xdr:row>
      <xdr:rowOff>57150</xdr:rowOff>
    </xdr:to>
    <xdr:pic>
      <xdr:nvPicPr>
        <xdr:cNvPr id="3" name="图片 2" descr="国泰安新标志（彩色）"/>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1819" b="25455"/>
        <a:stretch>
          <a:fillRect/>
        </a:stretch>
      </xdr:blipFill>
      <xdr:spPr bwMode="auto">
        <a:xfrm>
          <a:off x="0" y="0"/>
          <a:ext cx="1476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790575</xdr:colOff>
      <xdr:row>4</xdr:row>
      <xdr:rowOff>95250</xdr:rowOff>
    </xdr:from>
    <xdr:to>
      <xdr:col>18</xdr:col>
      <xdr:colOff>9525</xdr:colOff>
      <xdr:row>15</xdr:row>
      <xdr:rowOff>76200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809625</xdr:colOff>
      <xdr:row>17</xdr:row>
      <xdr:rowOff>104775</xdr:rowOff>
    </xdr:from>
    <xdr:to>
      <xdr:col>18</xdr:col>
      <xdr:colOff>9525</xdr:colOff>
      <xdr:row>28</xdr:row>
      <xdr:rowOff>133350</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371475</xdr:colOff>
      <xdr:row>18</xdr:row>
      <xdr:rowOff>95250</xdr:rowOff>
    </xdr:from>
    <xdr:to>
      <xdr:col>19</xdr:col>
      <xdr:colOff>19050</xdr:colOff>
      <xdr:row>38</xdr:row>
      <xdr:rowOff>66675</xdr:rowOff>
    </xdr:to>
    <xdr:graphicFrame macro="">
      <xdr:nvGraphicFramePr>
        <xdr:cNvPr id="4"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152400</xdr:colOff>
      <xdr:row>25</xdr:row>
      <xdr:rowOff>90487</xdr:rowOff>
    </xdr:from>
    <xdr:to>
      <xdr:col>12</xdr:col>
      <xdr:colOff>514350</xdr:colOff>
      <xdr:row>44</xdr:row>
      <xdr:rowOff>9525</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552450</xdr:colOff>
      <xdr:row>39</xdr:row>
      <xdr:rowOff>142875</xdr:rowOff>
    </xdr:from>
    <xdr:to>
      <xdr:col>12</xdr:col>
      <xdr:colOff>76200</xdr:colOff>
      <xdr:row>52</xdr:row>
      <xdr:rowOff>47625</xdr:rowOff>
    </xdr:to>
    <xdr:graphicFrame macro="">
      <xdr:nvGraphicFramePr>
        <xdr:cNvPr id="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16</xdr:row>
      <xdr:rowOff>133350</xdr:rowOff>
    </xdr:from>
    <xdr:to>
      <xdr:col>6</xdr:col>
      <xdr:colOff>895351</xdr:colOff>
      <xdr:row>29</xdr:row>
      <xdr:rowOff>142875</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16</xdr:row>
          <xdr:rowOff>171450</xdr:rowOff>
        </xdr:from>
        <xdr:to>
          <xdr:col>7</xdr:col>
          <xdr:colOff>676275</xdr:colOff>
          <xdr:row>18</xdr:row>
          <xdr:rowOff>133350</xdr:rowOff>
        </xdr:to>
        <xdr:sp macro="" textlink="">
          <xdr:nvSpPr>
            <xdr:cNvPr id="58371" name="Button 3" hidden="1">
              <a:extLst>
                <a:ext uri="{63B3BB69-23CF-44E3-9099-C40C66FF867C}">
                  <a14:compatExt spid="_x0000_s583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19</xdr:row>
          <xdr:rowOff>28575</xdr:rowOff>
        </xdr:from>
        <xdr:to>
          <xdr:col>7</xdr:col>
          <xdr:colOff>685800</xdr:colOff>
          <xdr:row>20</xdr:row>
          <xdr:rowOff>171450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114300</xdr:colOff>
          <xdr:row>10</xdr:row>
          <xdr:rowOff>104775</xdr:rowOff>
        </xdr:from>
        <xdr:ext cx="904875" cy="219075"/>
        <xdr:sp macro="" textlink="">
          <xdr:nvSpPr>
            <xdr:cNvPr id="62466" name="Button 2" hidden="1">
              <a:extLst>
                <a:ext uri="{63B3BB69-23CF-44E3-9099-C40C66FF867C}">
                  <a14:compatExt spid="_x0000_s62466"/>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oneCellAnchor>
    </mc:Choice>
    <mc:Fallback/>
  </mc:AlternateContent>
  <xdr:twoCellAnchor editAs="oneCell">
    <xdr:from>
      <xdr:col>1</xdr:col>
      <xdr:colOff>619125</xdr:colOff>
      <xdr:row>10</xdr:row>
      <xdr:rowOff>95250</xdr:rowOff>
    </xdr:from>
    <xdr:to>
      <xdr:col>10</xdr:col>
      <xdr:colOff>771525</xdr:colOff>
      <xdr:row>24</xdr:row>
      <xdr:rowOff>123825</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35</xdr:row>
          <xdr:rowOff>47625</xdr:rowOff>
        </xdr:from>
        <xdr:to>
          <xdr:col>1</xdr:col>
          <xdr:colOff>257175</xdr:colOff>
          <xdr:row>36</xdr:row>
          <xdr:rowOff>142875</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34</xdr:row>
      <xdr:rowOff>85725</xdr:rowOff>
    </xdr:from>
    <xdr:to>
      <xdr:col>10</xdr:col>
      <xdr:colOff>762000</xdr:colOff>
      <xdr:row>50</xdr:row>
      <xdr:rowOff>57150</xdr:rowOff>
    </xdr:to>
    <xdr:graphicFrame macro="">
      <xdr:nvGraphicFramePr>
        <xdr:cNvPr id="5" name="图表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60</xdr:row>
          <xdr:rowOff>104775</xdr:rowOff>
        </xdr:from>
        <xdr:to>
          <xdr:col>1</xdr:col>
          <xdr:colOff>238125</xdr:colOff>
          <xdr:row>62</xdr:row>
          <xdr:rowOff>57150</xdr:rowOff>
        </xdr:to>
        <xdr:sp macro="" textlink="">
          <xdr:nvSpPr>
            <xdr:cNvPr id="62469" name="Button 5" hidden="1">
              <a:extLst>
                <a:ext uri="{63B3BB69-23CF-44E3-9099-C40C66FF867C}">
                  <a14:compatExt spid="_x0000_s624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60</xdr:row>
      <xdr:rowOff>66675</xdr:rowOff>
    </xdr:from>
    <xdr:to>
      <xdr:col>10</xdr:col>
      <xdr:colOff>657225</xdr:colOff>
      <xdr:row>77</xdr:row>
      <xdr:rowOff>66675</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87</xdr:row>
          <xdr:rowOff>76200</xdr:rowOff>
        </xdr:from>
        <xdr:to>
          <xdr:col>1</xdr:col>
          <xdr:colOff>295275</xdr:colOff>
          <xdr:row>89</xdr:row>
          <xdr:rowOff>19050</xdr:rowOff>
        </xdr:to>
        <xdr:sp macro="" textlink="">
          <xdr:nvSpPr>
            <xdr:cNvPr id="62472" name="Button 8" hidden="1">
              <a:extLst>
                <a:ext uri="{63B3BB69-23CF-44E3-9099-C40C66FF867C}">
                  <a14:compatExt spid="_x0000_s624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87</xdr:row>
      <xdr:rowOff>57150</xdr:rowOff>
    </xdr:from>
    <xdr:to>
      <xdr:col>10</xdr:col>
      <xdr:colOff>628650</xdr:colOff>
      <xdr:row>102</xdr:row>
      <xdr:rowOff>142875</xdr:rowOff>
    </xdr:to>
    <xdr:graphicFrame macro="">
      <xdr:nvGraphicFramePr>
        <xdr:cNvPr id="12" name="图表 1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113</xdr:row>
          <xdr:rowOff>85725</xdr:rowOff>
        </xdr:from>
        <xdr:to>
          <xdr:col>1</xdr:col>
          <xdr:colOff>342900</xdr:colOff>
          <xdr:row>115</xdr:row>
          <xdr:rowOff>19050</xdr:rowOff>
        </xdr:to>
        <xdr:sp macro="" textlink="">
          <xdr:nvSpPr>
            <xdr:cNvPr id="62473" name="Button 9" hidden="1">
              <a:extLst>
                <a:ext uri="{63B3BB69-23CF-44E3-9099-C40C66FF867C}">
                  <a14:compatExt spid="_x0000_s624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113</xdr:row>
      <xdr:rowOff>57150</xdr:rowOff>
    </xdr:from>
    <xdr:to>
      <xdr:col>10</xdr:col>
      <xdr:colOff>704850</xdr:colOff>
      <xdr:row>129</xdr:row>
      <xdr:rowOff>142875</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oneCellAnchor>
        <xdr:from>
          <xdr:col>0</xdr:col>
          <xdr:colOff>114300</xdr:colOff>
          <xdr:row>12</xdr:row>
          <xdr:rowOff>85725</xdr:rowOff>
        </xdr:from>
        <xdr:ext cx="904875" cy="219075"/>
        <xdr:sp macro="" textlink="">
          <xdr:nvSpPr>
            <xdr:cNvPr id="62474" name="Button 10" hidden="1">
              <a:extLst>
                <a:ext uri="{63B3BB69-23CF-44E3-9099-C40C66FF867C}">
                  <a14:compatExt spid="_x0000_s62474"/>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oneCellAnchor>
    </mc:Choice>
    <mc:Fallback/>
  </mc:AlternateContent>
  <xdr:twoCellAnchor>
    <xdr:from>
      <xdr:col>11</xdr:col>
      <xdr:colOff>0</xdr:colOff>
      <xdr:row>13</xdr:row>
      <xdr:rowOff>19050</xdr:rowOff>
    </xdr:from>
    <xdr:to>
      <xdr:col>14</xdr:col>
      <xdr:colOff>628650</xdr:colOff>
      <xdr:row>18</xdr:row>
      <xdr:rowOff>38100</xdr:rowOff>
    </xdr:to>
    <xdr:sp macro="" textlink="">
      <xdr:nvSpPr>
        <xdr:cNvPr id="2" name="文本框 1"/>
        <xdr:cNvSpPr txBox="1">
          <a:spLocks noChangeAspect="1"/>
        </xdr:cNvSpPr>
      </xdr:nvSpPr>
      <xdr:spPr>
        <a:xfrm>
          <a:off x="7677150" y="263842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10</xdr:col>
      <xdr:colOff>762000</xdr:colOff>
      <xdr:row>37</xdr:row>
      <xdr:rowOff>38100</xdr:rowOff>
    </xdr:from>
    <xdr:to>
      <xdr:col>14</xdr:col>
      <xdr:colOff>609600</xdr:colOff>
      <xdr:row>43</xdr:row>
      <xdr:rowOff>0</xdr:rowOff>
    </xdr:to>
    <xdr:sp macro="" textlink="">
      <xdr:nvSpPr>
        <xdr:cNvPr id="15" name="文本框 14"/>
        <xdr:cNvSpPr txBox="1">
          <a:spLocks noChangeAspect="1"/>
        </xdr:cNvSpPr>
      </xdr:nvSpPr>
      <xdr:spPr>
        <a:xfrm>
          <a:off x="7658100" y="6638925"/>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37</xdr:row>
          <xdr:rowOff>76200</xdr:rowOff>
        </xdr:from>
        <xdr:to>
          <xdr:col>1</xdr:col>
          <xdr:colOff>247650</xdr:colOff>
          <xdr:row>39</xdr:row>
          <xdr:rowOff>28575</xdr:rowOff>
        </xdr:to>
        <xdr:sp macro="" textlink="">
          <xdr:nvSpPr>
            <xdr:cNvPr id="62475" name="Button 11" hidden="1">
              <a:extLst>
                <a:ext uri="{63B3BB69-23CF-44E3-9099-C40C66FF867C}">
                  <a14:compatExt spid="_x0000_s624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657225</xdr:colOff>
      <xdr:row>65</xdr:row>
      <xdr:rowOff>76200</xdr:rowOff>
    </xdr:from>
    <xdr:to>
      <xdr:col>14</xdr:col>
      <xdr:colOff>504825</xdr:colOff>
      <xdr:row>71</xdr:row>
      <xdr:rowOff>95250</xdr:rowOff>
    </xdr:to>
    <xdr:sp macro="" textlink="">
      <xdr:nvSpPr>
        <xdr:cNvPr id="16" name="文本框 15"/>
        <xdr:cNvSpPr txBox="1">
          <a:spLocks noChangeAspect="1"/>
        </xdr:cNvSpPr>
      </xdr:nvSpPr>
      <xdr:spPr>
        <a:xfrm>
          <a:off x="7553325" y="11315700"/>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62</xdr:row>
          <xdr:rowOff>114300</xdr:rowOff>
        </xdr:from>
        <xdr:to>
          <xdr:col>1</xdr:col>
          <xdr:colOff>247650</xdr:colOff>
          <xdr:row>64</xdr:row>
          <xdr:rowOff>66675</xdr:rowOff>
        </xdr:to>
        <xdr:sp macro="" textlink="">
          <xdr:nvSpPr>
            <xdr:cNvPr id="62476" name="Button 12" hidden="1">
              <a:extLst>
                <a:ext uri="{63B3BB69-23CF-44E3-9099-C40C66FF867C}">
                  <a14:compatExt spid="_x0000_s624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638175</xdr:colOff>
      <xdr:row>91</xdr:row>
      <xdr:rowOff>28574</xdr:rowOff>
    </xdr:from>
    <xdr:to>
      <xdr:col>14</xdr:col>
      <xdr:colOff>485775</xdr:colOff>
      <xdr:row>97</xdr:row>
      <xdr:rowOff>95249</xdr:rowOff>
    </xdr:to>
    <xdr:sp macro="" textlink="">
      <xdr:nvSpPr>
        <xdr:cNvPr id="18" name="文本框 17"/>
        <xdr:cNvSpPr txBox="1">
          <a:spLocks noChangeAspect="1"/>
        </xdr:cNvSpPr>
      </xdr:nvSpPr>
      <xdr:spPr>
        <a:xfrm>
          <a:off x="7534275" y="15135224"/>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89</xdr:row>
          <xdr:rowOff>142875</xdr:rowOff>
        </xdr:from>
        <xdr:to>
          <xdr:col>1</xdr:col>
          <xdr:colOff>276225</xdr:colOff>
          <xdr:row>91</xdr:row>
          <xdr:rowOff>95250</xdr:rowOff>
        </xdr:to>
        <xdr:sp macro="" textlink="">
          <xdr:nvSpPr>
            <xdr:cNvPr id="62477" name="Button 13" hidden="1">
              <a:extLst>
                <a:ext uri="{63B3BB69-23CF-44E3-9099-C40C66FF867C}">
                  <a14:compatExt spid="_x0000_s624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115</xdr:row>
          <xdr:rowOff>104775</xdr:rowOff>
        </xdr:from>
        <xdr:to>
          <xdr:col>1</xdr:col>
          <xdr:colOff>342900</xdr:colOff>
          <xdr:row>117</xdr:row>
          <xdr:rowOff>57150</xdr:rowOff>
        </xdr:to>
        <xdr:sp macro="" textlink="">
          <xdr:nvSpPr>
            <xdr:cNvPr id="62479" name="Button 15" hidden="1">
              <a:extLst>
                <a:ext uri="{63B3BB69-23CF-44E3-9099-C40C66FF867C}">
                  <a14:compatExt spid="_x0000_s624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20</xdr:row>
          <xdr:rowOff>28575</xdr:rowOff>
        </xdr:from>
        <xdr:to>
          <xdr:col>1</xdr:col>
          <xdr:colOff>66675</xdr:colOff>
          <xdr:row>21</xdr:row>
          <xdr:rowOff>133350</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xdr:row>
          <xdr:rowOff>28575</xdr:rowOff>
        </xdr:from>
        <xdr:to>
          <xdr:col>1</xdr:col>
          <xdr:colOff>76200</xdr:colOff>
          <xdr:row>19</xdr:row>
          <xdr:rowOff>47625</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40</xdr:row>
      <xdr:rowOff>0</xdr:rowOff>
    </xdr:from>
    <xdr:to>
      <xdr:col>14</xdr:col>
      <xdr:colOff>0</xdr:colOff>
      <xdr:row>49</xdr:row>
      <xdr:rowOff>238125</xdr:rowOff>
    </xdr:to>
    <xdr:graphicFrame macro="">
      <xdr:nvGraphicFramePr>
        <xdr:cNvPr id="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51</xdr:row>
      <xdr:rowOff>209550</xdr:rowOff>
    </xdr:from>
    <xdr:to>
      <xdr:col>13</xdr:col>
      <xdr:colOff>676275</xdr:colOff>
      <xdr:row>61</xdr:row>
      <xdr:rowOff>28575</xdr:rowOff>
    </xdr:to>
    <xdr:graphicFrame macro="">
      <xdr:nvGraphicFramePr>
        <xdr:cNvPr id="3"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64</xdr:row>
      <xdr:rowOff>38100</xdr:rowOff>
    </xdr:from>
    <xdr:to>
      <xdr:col>14</xdr:col>
      <xdr:colOff>485775</xdr:colOff>
      <xdr:row>80</xdr:row>
      <xdr:rowOff>142875</xdr:rowOff>
    </xdr:to>
    <xdr:graphicFrame macro="">
      <xdr:nvGraphicFramePr>
        <xdr:cNvPr id="4"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17</xdr:row>
      <xdr:rowOff>85725</xdr:rowOff>
    </xdr:from>
    <xdr:to>
      <xdr:col>9</xdr:col>
      <xdr:colOff>66675</xdr:colOff>
      <xdr:row>27</xdr:row>
      <xdr:rowOff>209550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171450</xdr:colOff>
      <xdr:row>31</xdr:row>
      <xdr:rowOff>9525</xdr:rowOff>
    </xdr:from>
    <xdr:to>
      <xdr:col>8</xdr:col>
      <xdr:colOff>609600</xdr:colOff>
      <xdr:row>43</xdr:row>
      <xdr:rowOff>19050</xdr:rowOff>
    </xdr:to>
    <xdr:graphicFrame macro="">
      <xdr:nvGraphicFramePr>
        <xdr:cNvPr id="2"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704850</xdr:colOff>
      <xdr:row>39</xdr:row>
      <xdr:rowOff>66675</xdr:rowOff>
    </xdr:from>
    <xdr:to>
      <xdr:col>14</xdr:col>
      <xdr:colOff>257175</xdr:colOff>
      <xdr:row>52</xdr:row>
      <xdr:rowOff>38100</xdr:rowOff>
    </xdr:to>
    <xdr:graphicFrame macro="">
      <xdr:nvGraphicFramePr>
        <xdr:cNvPr id="3"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xdr:colOff>
      <xdr:row>52</xdr:row>
      <xdr:rowOff>209550</xdr:rowOff>
    </xdr:from>
    <xdr:to>
      <xdr:col>13</xdr:col>
      <xdr:colOff>457200</xdr:colOff>
      <xdr:row>66</xdr:row>
      <xdr:rowOff>152400</xdr:rowOff>
    </xdr:to>
    <xdr:graphicFrame macro="">
      <xdr:nvGraphicFramePr>
        <xdr:cNvPr id="4" name="图表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352425</xdr:colOff>
      <xdr:row>21</xdr:row>
      <xdr:rowOff>76200</xdr:rowOff>
    </xdr:from>
    <xdr:to>
      <xdr:col>16</xdr:col>
      <xdr:colOff>228600</xdr:colOff>
      <xdr:row>37</xdr:row>
      <xdr:rowOff>104775</xdr:rowOff>
    </xdr:to>
    <xdr:graphicFrame macro="">
      <xdr:nvGraphicFramePr>
        <xdr:cNvPr id="5" name="图表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21</xdr:row>
          <xdr:rowOff>47625</xdr:rowOff>
        </xdr:from>
        <xdr:to>
          <xdr:col>0</xdr:col>
          <xdr:colOff>685800</xdr:colOff>
          <xdr:row>22</xdr:row>
          <xdr:rowOff>57150</xdr:rowOff>
        </xdr:to>
        <xdr:sp macro="" textlink="">
          <xdr:nvSpPr>
            <xdr:cNvPr id="41989" name="Button 5" hidden="1">
              <a:extLst>
                <a:ext uri="{63B3BB69-23CF-44E3-9099-C40C66FF867C}">
                  <a14:compatExt spid="_x0000_s419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21</xdr:row>
          <xdr:rowOff>47625</xdr:rowOff>
        </xdr:from>
        <xdr:to>
          <xdr:col>1</xdr:col>
          <xdr:colOff>9525</xdr:colOff>
          <xdr:row>22</xdr:row>
          <xdr:rowOff>57150</xdr:rowOff>
        </xdr:to>
        <xdr:sp macro="" textlink="">
          <xdr:nvSpPr>
            <xdr:cNvPr id="41992" name="Button 8" hidden="1">
              <a:extLst>
                <a:ext uri="{63B3BB69-23CF-44E3-9099-C40C66FF867C}">
                  <a14:compatExt spid="_x0000_s419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7</xdr:row>
          <xdr:rowOff>85725</xdr:rowOff>
        </xdr:from>
        <xdr:to>
          <xdr:col>11</xdr:col>
          <xdr:colOff>200025</xdr:colOff>
          <xdr:row>8</xdr:row>
          <xdr:rowOff>171450</xdr:rowOff>
        </xdr:to>
        <xdr:sp macro="" textlink="">
          <xdr:nvSpPr>
            <xdr:cNvPr id="42008" name="Button 24" hidden="1">
              <a:extLst>
                <a:ext uri="{63B3BB69-23CF-44E3-9099-C40C66FF867C}">
                  <a14:compatExt spid="_x0000_s420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9</xdr:row>
          <xdr:rowOff>76200</xdr:rowOff>
        </xdr:from>
        <xdr:to>
          <xdr:col>11</xdr:col>
          <xdr:colOff>200025</xdr:colOff>
          <xdr:row>10</xdr:row>
          <xdr:rowOff>152400</xdr:rowOff>
        </xdr:to>
        <xdr:sp macro="" textlink="">
          <xdr:nvSpPr>
            <xdr:cNvPr id="42014" name="Button 30" hidden="1">
              <a:extLst>
                <a:ext uri="{63B3BB69-23CF-44E3-9099-C40C66FF867C}">
                  <a14:compatExt spid="_x0000_s420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438150</xdr:colOff>
      <xdr:row>47</xdr:row>
      <xdr:rowOff>200025</xdr:rowOff>
    </xdr:from>
    <xdr:to>
      <xdr:col>10</xdr:col>
      <xdr:colOff>190500</xdr:colOff>
      <xdr:row>72</xdr:row>
      <xdr:rowOff>123825</xdr:rowOff>
    </xdr:to>
    <xdr:pic>
      <xdr:nvPicPr>
        <xdr:cNvPr id="2" name="Picture 9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10067925"/>
          <a:ext cx="66103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542925</xdr:colOff>
      <xdr:row>84</xdr:row>
      <xdr:rowOff>57150</xdr:rowOff>
    </xdr:from>
    <xdr:to>
      <xdr:col>9</xdr:col>
      <xdr:colOff>47625</xdr:colOff>
      <xdr:row>102</xdr:row>
      <xdr:rowOff>123825</xdr:rowOff>
    </xdr:to>
    <xdr:pic>
      <xdr:nvPicPr>
        <xdr:cNvPr id="3" name="Picture 101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 y="17678400"/>
          <a:ext cx="5676900"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0</xdr:colOff>
      <xdr:row>17</xdr:row>
      <xdr:rowOff>66675</xdr:rowOff>
    </xdr:from>
    <xdr:to>
      <xdr:col>7</xdr:col>
      <xdr:colOff>361950</xdr:colOff>
      <xdr:row>28</xdr:row>
      <xdr:rowOff>28575</xdr:rowOff>
    </xdr:to>
    <xdr:graphicFrame macro="">
      <xdr:nvGraphicFramePr>
        <xdr:cNvPr id="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95.118\&#23601;&#32490;&#26816;&#26597;&#24037;&#20316;&#25991;&#20214;&#21253;\&#27491;&#24335;&#29256;\&#36719;&#20214;\03.&#38656;&#27714;&#38454;&#27573;\&#24230;&#37327;&#20998;&#26512;\&#39033;&#30446;&#24230;&#37327;&#34920;_&#28689;&#24067;&#24335;1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row r="1">
          <cell r="AQ1" t="str">
            <v>CDMIS</v>
          </cell>
          <cell r="AR1" t="str">
            <v>1_US MIS</v>
          </cell>
          <cell r="AS1" t="str">
            <v>1_System Interrupt</v>
          </cell>
          <cell r="AT1" t="str">
            <v>1_Critical</v>
          </cell>
          <cell r="AU1" t="str">
            <v>Active</v>
          </cell>
        </row>
        <row r="2">
          <cell r="AQ2" t="str">
            <v>SHMIS</v>
          </cell>
          <cell r="AR2" t="str">
            <v>2_CD Support Team</v>
          </cell>
          <cell r="AS2" t="str">
            <v>2_Function Error</v>
          </cell>
          <cell r="AT2" t="str">
            <v>2_Serious</v>
          </cell>
          <cell r="AU2" t="str">
            <v>Closed</v>
          </cell>
        </row>
        <row r="3">
          <cell r="AR3" t="str">
            <v>3_US Support Team</v>
          </cell>
          <cell r="AS3" t="str">
            <v>3_Data Error</v>
          </cell>
          <cell r="AT3" t="str">
            <v>3_Average</v>
          </cell>
          <cell r="AU3" t="str">
            <v>Resolved</v>
          </cell>
        </row>
        <row r="4">
          <cell r="AR4" t="str">
            <v>4_Customer</v>
          </cell>
          <cell r="AS4" t="str">
            <v>4_GUI Error</v>
          </cell>
          <cell r="AT4" t="str">
            <v>4_Minor</v>
          </cell>
        </row>
        <row r="5">
          <cell r="AR5" t="str">
            <v>5_ChinaMIS</v>
          </cell>
          <cell r="AS5" t="str">
            <v>5_Security</v>
          </cell>
          <cell r="AT5" t="str">
            <v>5_Enhancement</v>
          </cell>
        </row>
        <row r="6">
          <cell r="AS6" t="str">
            <v>6_Performance</v>
          </cell>
        </row>
        <row r="7">
          <cell r="AS7" t="str">
            <v>7_Documentation</v>
          </cell>
        </row>
        <row r="8">
          <cell r="AS8" t="str">
            <v>8_Other</v>
          </cell>
        </row>
        <row r="9">
          <cell r="AS9" t="str">
            <v>9_Environment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报告封面"/>
      <sheetName val="目录"/>
      <sheetName val="项目属性"/>
      <sheetName val="工作量分布"/>
      <sheetName val="规模"/>
      <sheetName val="项目进度"/>
      <sheetName val="缺陷度量"/>
      <sheetName val="人员统计"/>
      <sheetName val="质量"/>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mments" Target="../comments8.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10.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6" Type="http://schemas.openxmlformats.org/officeDocument/2006/relationships/comments" Target="../comments10.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2.vml"/><Relationship Id="rId7" Type="http://schemas.openxmlformats.org/officeDocument/2006/relationships/ctrlProp" Target="../ctrlProps/ctrlProp20.xml"/><Relationship Id="rId2" Type="http://schemas.openxmlformats.org/officeDocument/2006/relationships/drawing" Target="../drawings/drawing8.xml"/><Relationship Id="rId1" Type="http://schemas.openxmlformats.org/officeDocument/2006/relationships/printerSettings" Target="../printerSettings/printerSettings16.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0005"/>
  <sheetViews>
    <sheetView workbookViewId="0"/>
  </sheetViews>
  <sheetFormatPr defaultRowHeight="13.5"/>
  <cols>
    <col min="1" max="3" width="36.625" customWidth="1"/>
  </cols>
  <sheetData>
    <row r="1" spans="1:16">
      <c r="A1" s="89" t="s">
        <v>7</v>
      </c>
    </row>
    <row r="2" spans="1:16">
      <c r="P2" t="e">
        <f ca="1">_xll.CB.RecalcCounterFN()</f>
        <v>#NAME?</v>
      </c>
    </row>
    <row r="3" spans="1:16">
      <c r="A3" t="s">
        <v>8</v>
      </c>
      <c r="B3" t="s">
        <v>9</v>
      </c>
      <c r="C3">
        <v>0</v>
      </c>
    </row>
    <row r="4" spans="1:16">
      <c r="A4" t="s">
        <v>10</v>
      </c>
    </row>
    <row r="5" spans="1:16">
      <c r="A5" t="s">
        <v>11</v>
      </c>
    </row>
    <row r="7" spans="1:16">
      <c r="A7" s="89" t="s">
        <v>12</v>
      </c>
      <c r="B7" t="s">
        <v>13</v>
      </c>
    </row>
    <row r="8" spans="1:16">
      <c r="B8">
        <v>3</v>
      </c>
    </row>
    <row r="10" spans="1:16">
      <c r="A10" t="s">
        <v>14</v>
      </c>
    </row>
    <row r="11" spans="1:16">
      <c r="A11" t="e">
        <f>CB_DATA_!#REF!</f>
        <v>#REF!</v>
      </c>
      <c r="C11" t="e">
        <f>模型!#REF!</f>
        <v>#REF!</v>
      </c>
    </row>
    <row r="13" spans="1:16">
      <c r="A13" t="s">
        <v>15</v>
      </c>
    </row>
    <row r="14" spans="1:16">
      <c r="A14" t="s">
        <v>19</v>
      </c>
      <c r="C14" s="90" t="s">
        <v>478</v>
      </c>
    </row>
    <row r="16" spans="1:16">
      <c r="A16" t="s">
        <v>16</v>
      </c>
    </row>
    <row r="19" spans="1:3">
      <c r="A19" t="s">
        <v>17</v>
      </c>
    </row>
    <row r="20" spans="1:3">
      <c r="A20">
        <v>31</v>
      </c>
      <c r="C20">
        <v>37</v>
      </c>
    </row>
    <row r="25" spans="1:3">
      <c r="A25" s="89" t="s">
        <v>18</v>
      </c>
    </row>
    <row r="26" spans="1:3">
      <c r="A26" s="90" t="s">
        <v>724</v>
      </c>
      <c r="C26" s="90" t="s">
        <v>729</v>
      </c>
    </row>
    <row r="27" spans="1:3">
      <c r="A27" t="s">
        <v>722</v>
      </c>
      <c r="C27" t="s">
        <v>730</v>
      </c>
    </row>
    <row r="28" spans="1:3">
      <c r="A28" s="90" t="s">
        <v>723</v>
      </c>
      <c r="C28" s="90" t="s">
        <v>731</v>
      </c>
    </row>
    <row r="29" spans="1:3">
      <c r="A29" s="90" t="s">
        <v>726</v>
      </c>
      <c r="C29" s="90" t="s">
        <v>724</v>
      </c>
    </row>
    <row r="30" spans="1:3">
      <c r="A30" t="s">
        <v>728</v>
      </c>
      <c r="C30" t="s">
        <v>725</v>
      </c>
    </row>
    <row r="31" spans="1:3">
      <c r="A31" s="90" t="s">
        <v>727</v>
      </c>
      <c r="C31" s="90" t="s">
        <v>723</v>
      </c>
    </row>
    <row r="32" spans="1:3">
      <c r="C32" s="90" t="s">
        <v>732</v>
      </c>
    </row>
    <row r="33" spans="3:3">
      <c r="C33" t="s">
        <v>733</v>
      </c>
    </row>
    <row r="34" spans="3:3">
      <c r="C34" s="90" t="s">
        <v>731</v>
      </c>
    </row>
    <row r="35" spans="3:3">
      <c r="C35" s="90" t="s">
        <v>734</v>
      </c>
    </row>
    <row r="36" spans="3:3">
      <c r="C36" t="s">
        <v>735</v>
      </c>
    </row>
    <row r="37" spans="3:3">
      <c r="C37" s="90" t="s">
        <v>731</v>
      </c>
    </row>
    <row r="10000" spans="1:1">
      <c r="A10000" t="s">
        <v>408</v>
      </c>
    </row>
    <row r="10001" spans="1:1">
      <c r="A10001" t="str">
        <f>"{0.CERTAINTY(-1.11E+307,0.8009)}"</f>
        <v>{0.CERTAINTY(-1.11E+307,0.8009)}</v>
      </c>
    </row>
    <row r="10002" spans="1:1">
      <c r="A10002" t="b">
        <f>"{0.MEAN}" &gt;= 0.3385</f>
        <v>1</v>
      </c>
    </row>
    <row r="10003" spans="1:1">
      <c r="A10003" t="b">
        <f>"{0.MEAN}" &lt;= 0.0938</f>
        <v>0</v>
      </c>
    </row>
    <row r="10004" spans="1:1">
      <c r="A10004" t="b">
        <f>"{0.MEAN}" &gt;= 0.512</f>
        <v>1</v>
      </c>
    </row>
    <row r="10005" spans="1:1">
      <c r="A10005" t="b">
        <f>"{0.MEAN}" &lt;= 0.05</f>
        <v>0</v>
      </c>
    </row>
  </sheetData>
  <phoneticPr fontId="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1"/>
  <sheetViews>
    <sheetView showGridLines="0" tabSelected="1" workbookViewId="0">
      <selection activeCell="C14" sqref="C14:F14"/>
    </sheetView>
  </sheetViews>
  <sheetFormatPr defaultRowHeight="12"/>
  <cols>
    <col min="1" max="1" width="15.625" style="152" customWidth="1"/>
    <col min="2" max="2" width="14.25" style="152" customWidth="1"/>
    <col min="3" max="3" width="11.625" style="152" bestFit="1" customWidth="1"/>
    <col min="4" max="5" width="9" style="152"/>
    <col min="6" max="6" width="26.375" style="152" customWidth="1"/>
    <col min="7" max="256" width="9" style="152"/>
    <col min="257" max="257" width="15.625" style="152" customWidth="1"/>
    <col min="258" max="258" width="14.25" style="152" customWidth="1"/>
    <col min="259" max="259" width="11.625" style="152" bestFit="1" customWidth="1"/>
    <col min="260" max="261" width="9" style="152"/>
    <col min="262" max="262" width="26.375" style="152" customWidth="1"/>
    <col min="263" max="512" width="9" style="152"/>
    <col min="513" max="513" width="15.625" style="152" customWidth="1"/>
    <col min="514" max="514" width="14.25" style="152" customWidth="1"/>
    <col min="515" max="515" width="11.625" style="152" bestFit="1" customWidth="1"/>
    <col min="516" max="517" width="9" style="152"/>
    <col min="518" max="518" width="26.375" style="152" customWidth="1"/>
    <col min="519" max="768" width="9" style="152"/>
    <col min="769" max="769" width="15.625" style="152" customWidth="1"/>
    <col min="770" max="770" width="14.25" style="152" customWidth="1"/>
    <col min="771" max="771" width="11.625" style="152" bestFit="1" customWidth="1"/>
    <col min="772" max="773" width="9" style="152"/>
    <col min="774" max="774" width="26.375" style="152" customWidth="1"/>
    <col min="775" max="1024" width="9" style="152"/>
    <col min="1025" max="1025" width="15.625" style="152" customWidth="1"/>
    <col min="1026" max="1026" width="14.25" style="152" customWidth="1"/>
    <col min="1027" max="1027" width="11.625" style="152" bestFit="1" customWidth="1"/>
    <col min="1028" max="1029" width="9" style="152"/>
    <col min="1030" max="1030" width="26.375" style="152" customWidth="1"/>
    <col min="1031" max="1280" width="9" style="152"/>
    <col min="1281" max="1281" width="15.625" style="152" customWidth="1"/>
    <col min="1282" max="1282" width="14.25" style="152" customWidth="1"/>
    <col min="1283" max="1283" width="11.625" style="152" bestFit="1" customWidth="1"/>
    <col min="1284" max="1285" width="9" style="152"/>
    <col min="1286" max="1286" width="26.375" style="152" customWidth="1"/>
    <col min="1287" max="1536" width="9" style="152"/>
    <col min="1537" max="1537" width="15.625" style="152" customWidth="1"/>
    <col min="1538" max="1538" width="14.25" style="152" customWidth="1"/>
    <col min="1539" max="1539" width="11.625" style="152" bestFit="1" customWidth="1"/>
    <col min="1540" max="1541" width="9" style="152"/>
    <col min="1542" max="1542" width="26.375" style="152" customWidth="1"/>
    <col min="1543" max="1792" width="9" style="152"/>
    <col min="1793" max="1793" width="15.625" style="152" customWidth="1"/>
    <col min="1794" max="1794" width="14.25" style="152" customWidth="1"/>
    <col min="1795" max="1795" width="11.625" style="152" bestFit="1" customWidth="1"/>
    <col min="1796" max="1797" width="9" style="152"/>
    <col min="1798" max="1798" width="26.375" style="152" customWidth="1"/>
    <col min="1799" max="2048" width="9" style="152"/>
    <col min="2049" max="2049" width="15.625" style="152" customWidth="1"/>
    <col min="2050" max="2050" width="14.25" style="152" customWidth="1"/>
    <col min="2051" max="2051" width="11.625" style="152" bestFit="1" customWidth="1"/>
    <col min="2052" max="2053" width="9" style="152"/>
    <col min="2054" max="2054" width="26.375" style="152" customWidth="1"/>
    <col min="2055" max="2304" width="9" style="152"/>
    <col min="2305" max="2305" width="15.625" style="152" customWidth="1"/>
    <col min="2306" max="2306" width="14.25" style="152" customWidth="1"/>
    <col min="2307" max="2307" width="11.625" style="152" bestFit="1" customWidth="1"/>
    <col min="2308" max="2309" width="9" style="152"/>
    <col min="2310" max="2310" width="26.375" style="152" customWidth="1"/>
    <col min="2311" max="2560" width="9" style="152"/>
    <col min="2561" max="2561" width="15.625" style="152" customWidth="1"/>
    <col min="2562" max="2562" width="14.25" style="152" customWidth="1"/>
    <col min="2563" max="2563" width="11.625" style="152" bestFit="1" customWidth="1"/>
    <col min="2564" max="2565" width="9" style="152"/>
    <col min="2566" max="2566" width="26.375" style="152" customWidth="1"/>
    <col min="2567" max="2816" width="9" style="152"/>
    <col min="2817" max="2817" width="15.625" style="152" customWidth="1"/>
    <col min="2818" max="2818" width="14.25" style="152" customWidth="1"/>
    <col min="2819" max="2819" width="11.625" style="152" bestFit="1" customWidth="1"/>
    <col min="2820" max="2821" width="9" style="152"/>
    <col min="2822" max="2822" width="26.375" style="152" customWidth="1"/>
    <col min="2823" max="3072" width="9" style="152"/>
    <col min="3073" max="3073" width="15.625" style="152" customWidth="1"/>
    <col min="3074" max="3074" width="14.25" style="152" customWidth="1"/>
    <col min="3075" max="3075" width="11.625" style="152" bestFit="1" customWidth="1"/>
    <col min="3076" max="3077" width="9" style="152"/>
    <col min="3078" max="3078" width="26.375" style="152" customWidth="1"/>
    <col min="3079" max="3328" width="9" style="152"/>
    <col min="3329" max="3329" width="15.625" style="152" customWidth="1"/>
    <col min="3330" max="3330" width="14.25" style="152" customWidth="1"/>
    <col min="3331" max="3331" width="11.625" style="152" bestFit="1" customWidth="1"/>
    <col min="3332" max="3333" width="9" style="152"/>
    <col min="3334" max="3334" width="26.375" style="152" customWidth="1"/>
    <col min="3335" max="3584" width="9" style="152"/>
    <col min="3585" max="3585" width="15.625" style="152" customWidth="1"/>
    <col min="3586" max="3586" width="14.25" style="152" customWidth="1"/>
    <col min="3587" max="3587" width="11.625" style="152" bestFit="1" customWidth="1"/>
    <col min="3588" max="3589" width="9" style="152"/>
    <col min="3590" max="3590" width="26.375" style="152" customWidth="1"/>
    <col min="3591" max="3840" width="9" style="152"/>
    <col min="3841" max="3841" width="15.625" style="152" customWidth="1"/>
    <col min="3842" max="3842" width="14.25" style="152" customWidth="1"/>
    <col min="3843" max="3843" width="11.625" style="152" bestFit="1" customWidth="1"/>
    <col min="3844" max="3845" width="9" style="152"/>
    <col min="3846" max="3846" width="26.375" style="152" customWidth="1"/>
    <col min="3847" max="4096" width="9" style="152"/>
    <col min="4097" max="4097" width="15.625" style="152" customWidth="1"/>
    <col min="4098" max="4098" width="14.25" style="152" customWidth="1"/>
    <col min="4099" max="4099" width="11.625" style="152" bestFit="1" customWidth="1"/>
    <col min="4100" max="4101" width="9" style="152"/>
    <col min="4102" max="4102" width="26.375" style="152" customWidth="1"/>
    <col min="4103" max="4352" width="9" style="152"/>
    <col min="4353" max="4353" width="15.625" style="152" customWidth="1"/>
    <col min="4354" max="4354" width="14.25" style="152" customWidth="1"/>
    <col min="4355" max="4355" width="11.625" style="152" bestFit="1" customWidth="1"/>
    <col min="4356" max="4357" width="9" style="152"/>
    <col min="4358" max="4358" width="26.375" style="152" customWidth="1"/>
    <col min="4359" max="4608" width="9" style="152"/>
    <col min="4609" max="4609" width="15.625" style="152" customWidth="1"/>
    <col min="4610" max="4610" width="14.25" style="152" customWidth="1"/>
    <col min="4611" max="4611" width="11.625" style="152" bestFit="1" customWidth="1"/>
    <col min="4612" max="4613" width="9" style="152"/>
    <col min="4614" max="4614" width="26.375" style="152" customWidth="1"/>
    <col min="4615" max="4864" width="9" style="152"/>
    <col min="4865" max="4865" width="15.625" style="152" customWidth="1"/>
    <col min="4866" max="4866" width="14.25" style="152" customWidth="1"/>
    <col min="4867" max="4867" width="11.625" style="152" bestFit="1" customWidth="1"/>
    <col min="4868" max="4869" width="9" style="152"/>
    <col min="4870" max="4870" width="26.375" style="152" customWidth="1"/>
    <col min="4871" max="5120" width="9" style="152"/>
    <col min="5121" max="5121" width="15.625" style="152" customWidth="1"/>
    <col min="5122" max="5122" width="14.25" style="152" customWidth="1"/>
    <col min="5123" max="5123" width="11.625" style="152" bestFit="1" customWidth="1"/>
    <col min="5124" max="5125" width="9" style="152"/>
    <col min="5126" max="5126" width="26.375" style="152" customWidth="1"/>
    <col min="5127" max="5376" width="9" style="152"/>
    <col min="5377" max="5377" width="15.625" style="152" customWidth="1"/>
    <col min="5378" max="5378" width="14.25" style="152" customWidth="1"/>
    <col min="5379" max="5379" width="11.625" style="152" bestFit="1" customWidth="1"/>
    <col min="5380" max="5381" width="9" style="152"/>
    <col min="5382" max="5382" width="26.375" style="152" customWidth="1"/>
    <col min="5383" max="5632" width="9" style="152"/>
    <col min="5633" max="5633" width="15.625" style="152" customWidth="1"/>
    <col min="5634" max="5634" width="14.25" style="152" customWidth="1"/>
    <col min="5635" max="5635" width="11.625" style="152" bestFit="1" customWidth="1"/>
    <col min="5636" max="5637" width="9" style="152"/>
    <col min="5638" max="5638" width="26.375" style="152" customWidth="1"/>
    <col min="5639" max="5888" width="9" style="152"/>
    <col min="5889" max="5889" width="15.625" style="152" customWidth="1"/>
    <col min="5890" max="5890" width="14.25" style="152" customWidth="1"/>
    <col min="5891" max="5891" width="11.625" style="152" bestFit="1" customWidth="1"/>
    <col min="5892" max="5893" width="9" style="152"/>
    <col min="5894" max="5894" width="26.375" style="152" customWidth="1"/>
    <col min="5895" max="6144" width="9" style="152"/>
    <col min="6145" max="6145" width="15.625" style="152" customWidth="1"/>
    <col min="6146" max="6146" width="14.25" style="152" customWidth="1"/>
    <col min="6147" max="6147" width="11.625" style="152" bestFit="1" customWidth="1"/>
    <col min="6148" max="6149" width="9" style="152"/>
    <col min="6150" max="6150" width="26.375" style="152" customWidth="1"/>
    <col min="6151" max="6400" width="9" style="152"/>
    <col min="6401" max="6401" width="15.625" style="152" customWidth="1"/>
    <col min="6402" max="6402" width="14.25" style="152" customWidth="1"/>
    <col min="6403" max="6403" width="11.625" style="152" bestFit="1" customWidth="1"/>
    <col min="6404" max="6405" width="9" style="152"/>
    <col min="6406" max="6406" width="26.375" style="152" customWidth="1"/>
    <col min="6407" max="6656" width="9" style="152"/>
    <col min="6657" max="6657" width="15.625" style="152" customWidth="1"/>
    <col min="6658" max="6658" width="14.25" style="152" customWidth="1"/>
    <col min="6659" max="6659" width="11.625" style="152" bestFit="1" customWidth="1"/>
    <col min="6660" max="6661" width="9" style="152"/>
    <col min="6662" max="6662" width="26.375" style="152" customWidth="1"/>
    <col min="6663" max="6912" width="9" style="152"/>
    <col min="6913" max="6913" width="15.625" style="152" customWidth="1"/>
    <col min="6914" max="6914" width="14.25" style="152" customWidth="1"/>
    <col min="6915" max="6915" width="11.625" style="152" bestFit="1" customWidth="1"/>
    <col min="6916" max="6917" width="9" style="152"/>
    <col min="6918" max="6918" width="26.375" style="152" customWidth="1"/>
    <col min="6919" max="7168" width="9" style="152"/>
    <col min="7169" max="7169" width="15.625" style="152" customWidth="1"/>
    <col min="7170" max="7170" width="14.25" style="152" customWidth="1"/>
    <col min="7171" max="7171" width="11.625" style="152" bestFit="1" customWidth="1"/>
    <col min="7172" max="7173" width="9" style="152"/>
    <col min="7174" max="7174" width="26.375" style="152" customWidth="1"/>
    <col min="7175" max="7424" width="9" style="152"/>
    <col min="7425" max="7425" width="15.625" style="152" customWidth="1"/>
    <col min="7426" max="7426" width="14.25" style="152" customWidth="1"/>
    <col min="7427" max="7427" width="11.625" style="152" bestFit="1" customWidth="1"/>
    <col min="7428" max="7429" width="9" style="152"/>
    <col min="7430" max="7430" width="26.375" style="152" customWidth="1"/>
    <col min="7431" max="7680" width="9" style="152"/>
    <col min="7681" max="7681" width="15.625" style="152" customWidth="1"/>
    <col min="7682" max="7682" width="14.25" style="152" customWidth="1"/>
    <col min="7683" max="7683" width="11.625" style="152" bestFit="1" customWidth="1"/>
    <col min="7684" max="7685" width="9" style="152"/>
    <col min="7686" max="7686" width="26.375" style="152" customWidth="1"/>
    <col min="7687" max="7936" width="9" style="152"/>
    <col min="7937" max="7937" width="15.625" style="152" customWidth="1"/>
    <col min="7938" max="7938" width="14.25" style="152" customWidth="1"/>
    <col min="7939" max="7939" width="11.625" style="152" bestFit="1" customWidth="1"/>
    <col min="7940" max="7941" width="9" style="152"/>
    <col min="7942" max="7942" width="26.375" style="152" customWidth="1"/>
    <col min="7943" max="8192" width="9" style="152"/>
    <col min="8193" max="8193" width="15.625" style="152" customWidth="1"/>
    <col min="8194" max="8194" width="14.25" style="152" customWidth="1"/>
    <col min="8195" max="8195" width="11.625" style="152" bestFit="1" customWidth="1"/>
    <col min="8196" max="8197" width="9" style="152"/>
    <col min="8198" max="8198" width="26.375" style="152" customWidth="1"/>
    <col min="8199" max="8448" width="9" style="152"/>
    <col min="8449" max="8449" width="15.625" style="152" customWidth="1"/>
    <col min="8450" max="8450" width="14.25" style="152" customWidth="1"/>
    <col min="8451" max="8451" width="11.625" style="152" bestFit="1" customWidth="1"/>
    <col min="8452" max="8453" width="9" style="152"/>
    <col min="8454" max="8454" width="26.375" style="152" customWidth="1"/>
    <col min="8455" max="8704" width="9" style="152"/>
    <col min="8705" max="8705" width="15.625" style="152" customWidth="1"/>
    <col min="8706" max="8706" width="14.25" style="152" customWidth="1"/>
    <col min="8707" max="8707" width="11.625" style="152" bestFit="1" customWidth="1"/>
    <col min="8708" max="8709" width="9" style="152"/>
    <col min="8710" max="8710" width="26.375" style="152" customWidth="1"/>
    <col min="8711" max="8960" width="9" style="152"/>
    <col min="8961" max="8961" width="15.625" style="152" customWidth="1"/>
    <col min="8962" max="8962" width="14.25" style="152" customWidth="1"/>
    <col min="8963" max="8963" width="11.625" style="152" bestFit="1" customWidth="1"/>
    <col min="8964" max="8965" width="9" style="152"/>
    <col min="8966" max="8966" width="26.375" style="152" customWidth="1"/>
    <col min="8967" max="9216" width="9" style="152"/>
    <col min="9217" max="9217" width="15.625" style="152" customWidth="1"/>
    <col min="9218" max="9218" width="14.25" style="152" customWidth="1"/>
    <col min="9219" max="9219" width="11.625" style="152" bestFit="1" customWidth="1"/>
    <col min="9220" max="9221" width="9" style="152"/>
    <col min="9222" max="9222" width="26.375" style="152" customWidth="1"/>
    <col min="9223" max="9472" width="9" style="152"/>
    <col min="9473" max="9473" width="15.625" style="152" customWidth="1"/>
    <col min="9474" max="9474" width="14.25" style="152" customWidth="1"/>
    <col min="9475" max="9475" width="11.625" style="152" bestFit="1" customWidth="1"/>
    <col min="9476" max="9477" width="9" style="152"/>
    <col min="9478" max="9478" width="26.375" style="152" customWidth="1"/>
    <col min="9479" max="9728" width="9" style="152"/>
    <col min="9729" max="9729" width="15.625" style="152" customWidth="1"/>
    <col min="9730" max="9730" width="14.25" style="152" customWidth="1"/>
    <col min="9731" max="9731" width="11.625" style="152" bestFit="1" customWidth="1"/>
    <col min="9732" max="9733" width="9" style="152"/>
    <col min="9734" max="9734" width="26.375" style="152" customWidth="1"/>
    <col min="9735" max="9984" width="9" style="152"/>
    <col min="9985" max="9985" width="15.625" style="152" customWidth="1"/>
    <col min="9986" max="9986" width="14.25" style="152" customWidth="1"/>
    <col min="9987" max="9987" width="11.625" style="152" bestFit="1" customWidth="1"/>
    <col min="9988" max="9989" width="9" style="152"/>
    <col min="9990" max="9990" width="26.375" style="152" customWidth="1"/>
    <col min="9991" max="10240" width="9" style="152"/>
    <col min="10241" max="10241" width="15.625" style="152" customWidth="1"/>
    <col min="10242" max="10242" width="14.25" style="152" customWidth="1"/>
    <col min="10243" max="10243" width="11.625" style="152" bestFit="1" customWidth="1"/>
    <col min="10244" max="10245" width="9" style="152"/>
    <col min="10246" max="10246" width="26.375" style="152" customWidth="1"/>
    <col min="10247" max="10496" width="9" style="152"/>
    <col min="10497" max="10497" width="15.625" style="152" customWidth="1"/>
    <col min="10498" max="10498" width="14.25" style="152" customWidth="1"/>
    <col min="10499" max="10499" width="11.625" style="152" bestFit="1" customWidth="1"/>
    <col min="10500" max="10501" width="9" style="152"/>
    <col min="10502" max="10502" width="26.375" style="152" customWidth="1"/>
    <col min="10503" max="10752" width="9" style="152"/>
    <col min="10753" max="10753" width="15.625" style="152" customWidth="1"/>
    <col min="10754" max="10754" width="14.25" style="152" customWidth="1"/>
    <col min="10755" max="10755" width="11.625" style="152" bestFit="1" customWidth="1"/>
    <col min="10756" max="10757" width="9" style="152"/>
    <col min="10758" max="10758" width="26.375" style="152" customWidth="1"/>
    <col min="10759" max="11008" width="9" style="152"/>
    <col min="11009" max="11009" width="15.625" style="152" customWidth="1"/>
    <col min="11010" max="11010" width="14.25" style="152" customWidth="1"/>
    <col min="11011" max="11011" width="11.625" style="152" bestFit="1" customWidth="1"/>
    <col min="11012" max="11013" width="9" style="152"/>
    <col min="11014" max="11014" width="26.375" style="152" customWidth="1"/>
    <col min="11015" max="11264" width="9" style="152"/>
    <col min="11265" max="11265" width="15.625" style="152" customWidth="1"/>
    <col min="11266" max="11266" width="14.25" style="152" customWidth="1"/>
    <col min="11267" max="11267" width="11.625" style="152" bestFit="1" customWidth="1"/>
    <col min="11268" max="11269" width="9" style="152"/>
    <col min="11270" max="11270" width="26.375" style="152" customWidth="1"/>
    <col min="11271" max="11520" width="9" style="152"/>
    <col min="11521" max="11521" width="15.625" style="152" customWidth="1"/>
    <col min="11522" max="11522" width="14.25" style="152" customWidth="1"/>
    <col min="11523" max="11523" width="11.625" style="152" bestFit="1" customWidth="1"/>
    <col min="11524" max="11525" width="9" style="152"/>
    <col min="11526" max="11526" width="26.375" style="152" customWidth="1"/>
    <col min="11527" max="11776" width="9" style="152"/>
    <col min="11777" max="11777" width="15.625" style="152" customWidth="1"/>
    <col min="11778" max="11778" width="14.25" style="152" customWidth="1"/>
    <col min="11779" max="11779" width="11.625" style="152" bestFit="1" customWidth="1"/>
    <col min="11780" max="11781" width="9" style="152"/>
    <col min="11782" max="11782" width="26.375" style="152" customWidth="1"/>
    <col min="11783" max="12032" width="9" style="152"/>
    <col min="12033" max="12033" width="15.625" style="152" customWidth="1"/>
    <col min="12034" max="12034" width="14.25" style="152" customWidth="1"/>
    <col min="12035" max="12035" width="11.625" style="152" bestFit="1" customWidth="1"/>
    <col min="12036" max="12037" width="9" style="152"/>
    <col min="12038" max="12038" width="26.375" style="152" customWidth="1"/>
    <col min="12039" max="12288" width="9" style="152"/>
    <col min="12289" max="12289" width="15.625" style="152" customWidth="1"/>
    <col min="12290" max="12290" width="14.25" style="152" customWidth="1"/>
    <col min="12291" max="12291" width="11.625" style="152" bestFit="1" customWidth="1"/>
    <col min="12292" max="12293" width="9" style="152"/>
    <col min="12294" max="12294" width="26.375" style="152" customWidth="1"/>
    <col min="12295" max="12544" width="9" style="152"/>
    <col min="12545" max="12545" width="15.625" style="152" customWidth="1"/>
    <col min="12546" max="12546" width="14.25" style="152" customWidth="1"/>
    <col min="12547" max="12547" width="11.625" style="152" bestFit="1" customWidth="1"/>
    <col min="12548" max="12549" width="9" style="152"/>
    <col min="12550" max="12550" width="26.375" style="152" customWidth="1"/>
    <col min="12551" max="12800" width="9" style="152"/>
    <col min="12801" max="12801" width="15.625" style="152" customWidth="1"/>
    <col min="12802" max="12802" width="14.25" style="152" customWidth="1"/>
    <col min="12803" max="12803" width="11.625" style="152" bestFit="1" customWidth="1"/>
    <col min="12804" max="12805" width="9" style="152"/>
    <col min="12806" max="12806" width="26.375" style="152" customWidth="1"/>
    <col min="12807" max="13056" width="9" style="152"/>
    <col min="13057" max="13057" width="15.625" style="152" customWidth="1"/>
    <col min="13058" max="13058" width="14.25" style="152" customWidth="1"/>
    <col min="13059" max="13059" width="11.625" style="152" bestFit="1" customWidth="1"/>
    <col min="13060" max="13061" width="9" style="152"/>
    <col min="13062" max="13062" width="26.375" style="152" customWidth="1"/>
    <col min="13063" max="13312" width="9" style="152"/>
    <col min="13313" max="13313" width="15.625" style="152" customWidth="1"/>
    <col min="13314" max="13314" width="14.25" style="152" customWidth="1"/>
    <col min="13315" max="13315" width="11.625" style="152" bestFit="1" customWidth="1"/>
    <col min="13316" max="13317" width="9" style="152"/>
    <col min="13318" max="13318" width="26.375" style="152" customWidth="1"/>
    <col min="13319" max="13568" width="9" style="152"/>
    <col min="13569" max="13569" width="15.625" style="152" customWidth="1"/>
    <col min="13570" max="13570" width="14.25" style="152" customWidth="1"/>
    <col min="13571" max="13571" width="11.625" style="152" bestFit="1" customWidth="1"/>
    <col min="13572" max="13573" width="9" style="152"/>
    <col min="13574" max="13574" width="26.375" style="152" customWidth="1"/>
    <col min="13575" max="13824" width="9" style="152"/>
    <col min="13825" max="13825" width="15.625" style="152" customWidth="1"/>
    <col min="13826" max="13826" width="14.25" style="152" customWidth="1"/>
    <col min="13827" max="13827" width="11.625" style="152" bestFit="1" customWidth="1"/>
    <col min="13828" max="13829" width="9" style="152"/>
    <col min="13830" max="13830" width="26.375" style="152" customWidth="1"/>
    <col min="13831" max="14080" width="9" style="152"/>
    <col min="14081" max="14081" width="15.625" style="152" customWidth="1"/>
    <col min="14082" max="14082" width="14.25" style="152" customWidth="1"/>
    <col min="14083" max="14083" width="11.625" style="152" bestFit="1" customWidth="1"/>
    <col min="14084" max="14085" width="9" style="152"/>
    <col min="14086" max="14086" width="26.375" style="152" customWidth="1"/>
    <col min="14087" max="14336" width="9" style="152"/>
    <col min="14337" max="14337" width="15.625" style="152" customWidth="1"/>
    <col min="14338" max="14338" width="14.25" style="152" customWidth="1"/>
    <col min="14339" max="14339" width="11.625" style="152" bestFit="1" customWidth="1"/>
    <col min="14340" max="14341" width="9" style="152"/>
    <col min="14342" max="14342" width="26.375" style="152" customWidth="1"/>
    <col min="14343" max="14592" width="9" style="152"/>
    <col min="14593" max="14593" width="15.625" style="152" customWidth="1"/>
    <col min="14594" max="14594" width="14.25" style="152" customWidth="1"/>
    <col min="14595" max="14595" width="11.625" style="152" bestFit="1" customWidth="1"/>
    <col min="14596" max="14597" width="9" style="152"/>
    <col min="14598" max="14598" width="26.375" style="152" customWidth="1"/>
    <col min="14599" max="14848" width="9" style="152"/>
    <col min="14849" max="14849" width="15.625" style="152" customWidth="1"/>
    <col min="14850" max="14850" width="14.25" style="152" customWidth="1"/>
    <col min="14851" max="14851" width="11.625" style="152" bestFit="1" customWidth="1"/>
    <col min="14852" max="14853" width="9" style="152"/>
    <col min="14854" max="14854" width="26.375" style="152" customWidth="1"/>
    <col min="14855" max="15104" width="9" style="152"/>
    <col min="15105" max="15105" width="15.625" style="152" customWidth="1"/>
    <col min="15106" max="15106" width="14.25" style="152" customWidth="1"/>
    <col min="15107" max="15107" width="11.625" style="152" bestFit="1" customWidth="1"/>
    <col min="15108" max="15109" width="9" style="152"/>
    <col min="15110" max="15110" width="26.375" style="152" customWidth="1"/>
    <col min="15111" max="15360" width="9" style="152"/>
    <col min="15361" max="15361" width="15.625" style="152" customWidth="1"/>
    <col min="15362" max="15362" width="14.25" style="152" customWidth="1"/>
    <col min="15363" max="15363" width="11.625" style="152" bestFit="1" customWidth="1"/>
    <col min="15364" max="15365" width="9" style="152"/>
    <col min="15366" max="15366" width="26.375" style="152" customWidth="1"/>
    <col min="15367" max="15616" width="9" style="152"/>
    <col min="15617" max="15617" width="15.625" style="152" customWidth="1"/>
    <col min="15618" max="15618" width="14.25" style="152" customWidth="1"/>
    <col min="15619" max="15619" width="11.625" style="152" bestFit="1" customWidth="1"/>
    <col min="15620" max="15621" width="9" style="152"/>
    <col min="15622" max="15622" width="26.375" style="152" customWidth="1"/>
    <col min="15623" max="15872" width="9" style="152"/>
    <col min="15873" max="15873" width="15.625" style="152" customWidth="1"/>
    <col min="15874" max="15874" width="14.25" style="152" customWidth="1"/>
    <col min="15875" max="15875" width="11.625" style="152" bestFit="1" customWidth="1"/>
    <col min="15876" max="15877" width="9" style="152"/>
    <col min="15878" max="15878" width="26.375" style="152" customWidth="1"/>
    <col min="15879" max="16128" width="9" style="152"/>
    <col min="16129" max="16129" width="15.625" style="152" customWidth="1"/>
    <col min="16130" max="16130" width="14.25" style="152" customWidth="1"/>
    <col min="16131" max="16131" width="11.625" style="152" bestFit="1" customWidth="1"/>
    <col min="16132" max="16133" width="9" style="152"/>
    <col min="16134" max="16134" width="26.375" style="152" customWidth="1"/>
    <col min="16135" max="16384" width="9" style="152"/>
  </cols>
  <sheetData>
    <row r="1" spans="1:6">
      <c r="A1" s="664" t="s">
        <v>651</v>
      </c>
      <c r="B1" s="664"/>
      <c r="C1" s="664"/>
      <c r="D1" s="664"/>
      <c r="E1" s="664"/>
      <c r="F1" s="664"/>
    </row>
    <row r="2" spans="1:6">
      <c r="A2" s="664"/>
      <c r="B2" s="664"/>
      <c r="C2" s="664"/>
      <c r="D2" s="664"/>
      <c r="E2" s="664"/>
      <c r="F2" s="664"/>
    </row>
    <row r="3" spans="1:6" ht="15" customHeight="1">
      <c r="A3" s="440"/>
      <c r="B3" s="440"/>
      <c r="C3" s="440"/>
      <c r="D3" s="440"/>
      <c r="E3" s="440"/>
      <c r="F3" s="440"/>
    </row>
    <row r="4" spans="1:6">
      <c r="A4" s="138"/>
      <c r="B4" s="665" t="s">
        <v>652</v>
      </c>
      <c r="C4" s="665"/>
      <c r="D4" s="665"/>
      <c r="E4" s="665"/>
      <c r="F4" s="665"/>
    </row>
    <row r="5" spans="1:6" ht="13.5">
      <c r="A5" s="138"/>
      <c r="B5" s="441" t="s">
        <v>653</v>
      </c>
      <c r="C5" s="441" t="s">
        <v>654</v>
      </c>
      <c r="D5" s="442" t="s">
        <v>655</v>
      </c>
      <c r="E5" s="441" t="s">
        <v>656</v>
      </c>
      <c r="F5" s="441" t="s">
        <v>657</v>
      </c>
    </row>
    <row r="6" spans="1:6" ht="12.75" customHeight="1">
      <c r="A6" s="138"/>
      <c r="B6" s="443" t="s">
        <v>658</v>
      </c>
      <c r="C6" s="444">
        <v>40784</v>
      </c>
      <c r="D6" s="154" t="s">
        <v>659</v>
      </c>
      <c r="E6" s="154" t="s">
        <v>660</v>
      </c>
      <c r="F6" s="154" t="s">
        <v>661</v>
      </c>
    </row>
    <row r="7" spans="1:6" ht="12.75" customHeight="1">
      <c r="A7" s="138"/>
      <c r="B7" s="153" t="s">
        <v>662</v>
      </c>
      <c r="C7" s="445">
        <v>40886</v>
      </c>
      <c r="D7" s="154" t="s">
        <v>663</v>
      </c>
      <c r="E7" s="154" t="s">
        <v>664</v>
      </c>
      <c r="F7" s="154" t="s">
        <v>665</v>
      </c>
    </row>
    <row r="8" spans="1:6" ht="27.75" customHeight="1">
      <c r="A8" s="138"/>
      <c r="B8" s="154" t="s">
        <v>666</v>
      </c>
      <c r="C8" s="445">
        <v>41501</v>
      </c>
      <c r="D8" s="154" t="s">
        <v>663</v>
      </c>
      <c r="E8" s="154" t="s">
        <v>664</v>
      </c>
      <c r="F8" s="446" t="s">
        <v>667</v>
      </c>
    </row>
    <row r="9" spans="1:6" ht="18.75" customHeight="1">
      <c r="A9" s="138"/>
      <c r="B9" s="154" t="s">
        <v>668</v>
      </c>
      <c r="C9" s="445">
        <v>41978</v>
      </c>
      <c r="D9" s="154" t="s">
        <v>663</v>
      </c>
      <c r="E9" s="154" t="s">
        <v>664</v>
      </c>
      <c r="F9" s="446" t="s">
        <v>669</v>
      </c>
    </row>
    <row r="10" spans="1:6" ht="21" customHeight="1">
      <c r="A10" s="138"/>
      <c r="B10" s="154" t="s">
        <v>670</v>
      </c>
      <c r="C10" s="445">
        <v>42124</v>
      </c>
      <c r="D10" s="154" t="s">
        <v>671</v>
      </c>
      <c r="E10" s="154" t="s">
        <v>672</v>
      </c>
      <c r="F10" s="446" t="s">
        <v>673</v>
      </c>
    </row>
    <row r="11" spans="1:6">
      <c r="A11" s="138"/>
      <c r="B11" s="138"/>
      <c r="C11" s="138"/>
      <c r="D11" s="138"/>
      <c r="E11" s="138"/>
      <c r="F11" s="138"/>
    </row>
    <row r="12" spans="1:6" ht="68.25" customHeight="1">
      <c r="A12" s="666" t="s">
        <v>674</v>
      </c>
      <c r="B12" s="447" t="s">
        <v>675</v>
      </c>
      <c r="C12" s="669" t="s">
        <v>975</v>
      </c>
      <c r="D12" s="670"/>
      <c r="E12" s="670"/>
      <c r="F12" s="670"/>
    </row>
    <row r="13" spans="1:6" ht="68.25" customHeight="1">
      <c r="A13" s="667"/>
      <c r="B13" s="447" t="s">
        <v>676</v>
      </c>
      <c r="C13" s="670" t="s">
        <v>976</v>
      </c>
      <c r="D13" s="670"/>
      <c r="E13" s="670"/>
      <c r="F13" s="670"/>
    </row>
    <row r="14" spans="1:6" ht="68.25" customHeight="1">
      <c r="A14" s="667"/>
      <c r="B14" s="447" t="s">
        <v>677</v>
      </c>
      <c r="C14" s="670" t="s">
        <v>977</v>
      </c>
      <c r="D14" s="670"/>
      <c r="E14" s="670"/>
      <c r="F14" s="670"/>
    </row>
    <row r="15" spans="1:6" ht="68.25" customHeight="1">
      <c r="A15" s="668"/>
      <c r="B15" s="447" t="s">
        <v>678</v>
      </c>
      <c r="C15" s="670" t="s">
        <v>679</v>
      </c>
      <c r="D15" s="670"/>
      <c r="E15" s="670"/>
      <c r="F15" s="670"/>
    </row>
    <row r="16" spans="1:6" ht="14.25">
      <c r="A16" s="448"/>
    </row>
    <row r="17" spans="1:1" ht="14.25">
      <c r="A17" s="449"/>
    </row>
    <row r="18" spans="1:1" ht="14.25">
      <c r="A18" s="450" t="s">
        <v>680</v>
      </c>
    </row>
    <row r="19" spans="1:1">
      <c r="A19" s="451"/>
    </row>
    <row r="20" spans="1:1" ht="14.25">
      <c r="A20" s="452"/>
    </row>
    <row r="21" spans="1:1" ht="14.25">
      <c r="A21" s="453"/>
    </row>
  </sheetData>
  <mergeCells count="7">
    <mergeCell ref="A1:F2"/>
    <mergeCell ref="B4:F4"/>
    <mergeCell ref="A12:A15"/>
    <mergeCell ref="C12:F12"/>
    <mergeCell ref="C13:F13"/>
    <mergeCell ref="C14:F14"/>
    <mergeCell ref="C15:F15"/>
  </mergeCells>
  <phoneticPr fontId="4" type="noConversion"/>
  <pageMargins left="0.75" right="0.75" top="1" bottom="1" header="0.5" footer="0.5"/>
  <pageSetup paperSize="9" orientation="portrait" horizontalDpi="4294967292"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9"/>
  <sheetViews>
    <sheetView workbookViewId="0">
      <selection activeCell="H21" sqref="H21"/>
    </sheetView>
  </sheetViews>
  <sheetFormatPr defaultColWidth="9" defaultRowHeight="16.5"/>
  <cols>
    <col min="1" max="2" width="9" style="454" customWidth="1"/>
    <col min="3" max="3" width="6.625" style="454" customWidth="1"/>
    <col min="4" max="4" width="16.5" style="454" customWidth="1"/>
    <col min="5" max="5" width="10.875" style="455" customWidth="1"/>
    <col min="6" max="6" width="10.375" style="454" customWidth="1"/>
    <col min="7" max="7" width="9" style="454" customWidth="1"/>
    <col min="8" max="8" width="10" style="454" customWidth="1"/>
    <col min="9" max="253" width="9" style="454"/>
    <col min="254" max="255" width="9" style="454" customWidth="1"/>
    <col min="256" max="256" width="6.625" style="454" customWidth="1"/>
    <col min="257" max="257" width="16.5" style="454" customWidth="1"/>
    <col min="258" max="258" width="10.875" style="454" customWidth="1"/>
    <col min="259" max="259" width="9" style="454" customWidth="1"/>
    <col min="260" max="260" width="9.75" style="454" bestFit="1" customWidth="1"/>
    <col min="261" max="262" width="9" style="454" customWidth="1"/>
    <col min="263" max="263" width="6.125" style="454" customWidth="1"/>
    <col min="264" max="264" width="10" style="454" customWidth="1"/>
    <col min="265" max="509" width="9" style="454"/>
    <col min="510" max="511" width="9" style="454" customWidth="1"/>
    <col min="512" max="512" width="6.625" style="454" customWidth="1"/>
    <col min="513" max="513" width="16.5" style="454" customWidth="1"/>
    <col min="514" max="514" width="10.875" style="454" customWidth="1"/>
    <col min="515" max="515" width="9" style="454" customWidth="1"/>
    <col min="516" max="516" width="9.75" style="454" bestFit="1" customWidth="1"/>
    <col min="517" max="518" width="9" style="454" customWidth="1"/>
    <col min="519" max="519" width="6.125" style="454" customWidth="1"/>
    <col min="520" max="520" width="10" style="454" customWidth="1"/>
    <col min="521" max="765" width="9" style="454"/>
    <col min="766" max="767" width="9" style="454" customWidth="1"/>
    <col min="768" max="768" width="6.625" style="454" customWidth="1"/>
    <col min="769" max="769" width="16.5" style="454" customWidth="1"/>
    <col min="770" max="770" width="10.875" style="454" customWidth="1"/>
    <col min="771" max="771" width="9" style="454" customWidth="1"/>
    <col min="772" max="772" width="9.75" style="454" bestFit="1" customWidth="1"/>
    <col min="773" max="774" width="9" style="454" customWidth="1"/>
    <col min="775" max="775" width="6.125" style="454" customWidth="1"/>
    <col min="776" max="776" width="10" style="454" customWidth="1"/>
    <col min="777" max="1021" width="9" style="454"/>
    <col min="1022" max="1023" width="9" style="454" customWidth="1"/>
    <col min="1024" max="1024" width="6.625" style="454" customWidth="1"/>
    <col min="1025" max="1025" width="16.5" style="454" customWidth="1"/>
    <col min="1026" max="1026" width="10.875" style="454" customWidth="1"/>
    <col min="1027" max="1027" width="9" style="454" customWidth="1"/>
    <col min="1028" max="1028" width="9.75" style="454" bestFit="1" customWidth="1"/>
    <col min="1029" max="1030" width="9" style="454" customWidth="1"/>
    <col min="1031" max="1031" width="6.125" style="454" customWidth="1"/>
    <col min="1032" max="1032" width="10" style="454" customWidth="1"/>
    <col min="1033" max="1277" width="9" style="454"/>
    <col min="1278" max="1279" width="9" style="454" customWidth="1"/>
    <col min="1280" max="1280" width="6.625" style="454" customWidth="1"/>
    <col min="1281" max="1281" width="16.5" style="454" customWidth="1"/>
    <col min="1282" max="1282" width="10.875" style="454" customWidth="1"/>
    <col min="1283" max="1283" width="9" style="454" customWidth="1"/>
    <col min="1284" max="1284" width="9.75" style="454" bestFit="1" customWidth="1"/>
    <col min="1285" max="1286" width="9" style="454" customWidth="1"/>
    <col min="1287" max="1287" width="6.125" style="454" customWidth="1"/>
    <col min="1288" max="1288" width="10" style="454" customWidth="1"/>
    <col min="1289" max="1533" width="9" style="454"/>
    <col min="1534" max="1535" width="9" style="454" customWidth="1"/>
    <col min="1536" max="1536" width="6.625" style="454" customWidth="1"/>
    <col min="1537" max="1537" width="16.5" style="454" customWidth="1"/>
    <col min="1538" max="1538" width="10.875" style="454" customWidth="1"/>
    <col min="1539" max="1539" width="9" style="454" customWidth="1"/>
    <col min="1540" max="1540" width="9.75" style="454" bestFit="1" customWidth="1"/>
    <col min="1541" max="1542" width="9" style="454" customWidth="1"/>
    <col min="1543" max="1543" width="6.125" style="454" customWidth="1"/>
    <col min="1544" max="1544" width="10" style="454" customWidth="1"/>
    <col min="1545" max="1789" width="9" style="454"/>
    <col min="1790" max="1791" width="9" style="454" customWidth="1"/>
    <col min="1792" max="1792" width="6.625" style="454" customWidth="1"/>
    <col min="1793" max="1793" width="16.5" style="454" customWidth="1"/>
    <col min="1794" max="1794" width="10.875" style="454" customWidth="1"/>
    <col min="1795" max="1795" width="9" style="454" customWidth="1"/>
    <col min="1796" max="1796" width="9.75" style="454" bestFit="1" customWidth="1"/>
    <col min="1797" max="1798" width="9" style="454" customWidth="1"/>
    <col min="1799" max="1799" width="6.125" style="454" customWidth="1"/>
    <col min="1800" max="1800" width="10" style="454" customWidth="1"/>
    <col min="1801" max="2045" width="9" style="454"/>
    <col min="2046" max="2047" width="9" style="454" customWidth="1"/>
    <col min="2048" max="2048" width="6.625" style="454" customWidth="1"/>
    <col min="2049" max="2049" width="16.5" style="454" customWidth="1"/>
    <col min="2050" max="2050" width="10.875" style="454" customWidth="1"/>
    <col min="2051" max="2051" width="9" style="454" customWidth="1"/>
    <col min="2052" max="2052" width="9.75" style="454" bestFit="1" customWidth="1"/>
    <col min="2053" max="2054" width="9" style="454" customWidth="1"/>
    <col min="2055" max="2055" width="6.125" style="454" customWidth="1"/>
    <col min="2056" max="2056" width="10" style="454" customWidth="1"/>
    <col min="2057" max="2301" width="9" style="454"/>
    <col min="2302" max="2303" width="9" style="454" customWidth="1"/>
    <col min="2304" max="2304" width="6.625" style="454" customWidth="1"/>
    <col min="2305" max="2305" width="16.5" style="454" customWidth="1"/>
    <col min="2306" max="2306" width="10.875" style="454" customWidth="1"/>
    <col min="2307" max="2307" width="9" style="454" customWidth="1"/>
    <col min="2308" max="2308" width="9.75" style="454" bestFit="1" customWidth="1"/>
    <col min="2309" max="2310" width="9" style="454" customWidth="1"/>
    <col min="2311" max="2311" width="6.125" style="454" customWidth="1"/>
    <col min="2312" max="2312" width="10" style="454" customWidth="1"/>
    <col min="2313" max="2557" width="9" style="454"/>
    <col min="2558" max="2559" width="9" style="454" customWidth="1"/>
    <col min="2560" max="2560" width="6.625" style="454" customWidth="1"/>
    <col min="2561" max="2561" width="16.5" style="454" customWidth="1"/>
    <col min="2562" max="2562" width="10.875" style="454" customWidth="1"/>
    <col min="2563" max="2563" width="9" style="454" customWidth="1"/>
    <col min="2564" max="2564" width="9.75" style="454" bestFit="1" customWidth="1"/>
    <col min="2565" max="2566" width="9" style="454" customWidth="1"/>
    <col min="2567" max="2567" width="6.125" style="454" customWidth="1"/>
    <col min="2568" max="2568" width="10" style="454" customWidth="1"/>
    <col min="2569" max="2813" width="9" style="454"/>
    <col min="2814" max="2815" width="9" style="454" customWidth="1"/>
    <col min="2816" max="2816" width="6.625" style="454" customWidth="1"/>
    <col min="2817" max="2817" width="16.5" style="454" customWidth="1"/>
    <col min="2818" max="2818" width="10.875" style="454" customWidth="1"/>
    <col min="2819" max="2819" width="9" style="454" customWidth="1"/>
    <col min="2820" max="2820" width="9.75" style="454" bestFit="1" customWidth="1"/>
    <col min="2821" max="2822" width="9" style="454" customWidth="1"/>
    <col min="2823" max="2823" width="6.125" style="454" customWidth="1"/>
    <col min="2824" max="2824" width="10" style="454" customWidth="1"/>
    <col min="2825" max="3069" width="9" style="454"/>
    <col min="3070" max="3071" width="9" style="454" customWidth="1"/>
    <col min="3072" max="3072" width="6.625" style="454" customWidth="1"/>
    <col min="3073" max="3073" width="16.5" style="454" customWidth="1"/>
    <col min="3074" max="3074" width="10.875" style="454" customWidth="1"/>
    <col min="3075" max="3075" width="9" style="454" customWidth="1"/>
    <col min="3076" max="3076" width="9.75" style="454" bestFit="1" customWidth="1"/>
    <col min="3077" max="3078" width="9" style="454" customWidth="1"/>
    <col min="3079" max="3079" width="6.125" style="454" customWidth="1"/>
    <col min="3080" max="3080" width="10" style="454" customWidth="1"/>
    <col min="3081" max="3325" width="9" style="454"/>
    <col min="3326" max="3327" width="9" style="454" customWidth="1"/>
    <col min="3328" max="3328" width="6.625" style="454" customWidth="1"/>
    <col min="3329" max="3329" width="16.5" style="454" customWidth="1"/>
    <col min="3330" max="3330" width="10.875" style="454" customWidth="1"/>
    <col min="3331" max="3331" width="9" style="454" customWidth="1"/>
    <col min="3332" max="3332" width="9.75" style="454" bestFit="1" customWidth="1"/>
    <col min="3333" max="3334" width="9" style="454" customWidth="1"/>
    <col min="3335" max="3335" width="6.125" style="454" customWidth="1"/>
    <col min="3336" max="3336" width="10" style="454" customWidth="1"/>
    <col min="3337" max="3581" width="9" style="454"/>
    <col min="3582" max="3583" width="9" style="454" customWidth="1"/>
    <col min="3584" max="3584" width="6.625" style="454" customWidth="1"/>
    <col min="3585" max="3585" width="16.5" style="454" customWidth="1"/>
    <col min="3586" max="3586" width="10.875" style="454" customWidth="1"/>
    <col min="3587" max="3587" width="9" style="454" customWidth="1"/>
    <col min="3588" max="3588" width="9.75" style="454" bestFit="1" customWidth="1"/>
    <col min="3589" max="3590" width="9" style="454" customWidth="1"/>
    <col min="3591" max="3591" width="6.125" style="454" customWidth="1"/>
    <col min="3592" max="3592" width="10" style="454" customWidth="1"/>
    <col min="3593" max="3837" width="9" style="454"/>
    <col min="3838" max="3839" width="9" style="454" customWidth="1"/>
    <col min="3840" max="3840" width="6.625" style="454" customWidth="1"/>
    <col min="3841" max="3841" width="16.5" style="454" customWidth="1"/>
    <col min="3842" max="3842" width="10.875" style="454" customWidth="1"/>
    <col min="3843" max="3843" width="9" style="454" customWidth="1"/>
    <col min="3844" max="3844" width="9.75" style="454" bestFit="1" customWidth="1"/>
    <col min="3845" max="3846" width="9" style="454" customWidth="1"/>
    <col min="3847" max="3847" width="6.125" style="454" customWidth="1"/>
    <col min="3848" max="3848" width="10" style="454" customWidth="1"/>
    <col min="3849" max="4093" width="9" style="454"/>
    <col min="4094" max="4095" width="9" style="454" customWidth="1"/>
    <col min="4096" max="4096" width="6.625" style="454" customWidth="1"/>
    <col min="4097" max="4097" width="16.5" style="454" customWidth="1"/>
    <col min="4098" max="4098" width="10.875" style="454" customWidth="1"/>
    <col min="4099" max="4099" width="9" style="454" customWidth="1"/>
    <col min="4100" max="4100" width="9.75" style="454" bestFit="1" customWidth="1"/>
    <col min="4101" max="4102" width="9" style="454" customWidth="1"/>
    <col min="4103" max="4103" width="6.125" style="454" customWidth="1"/>
    <col min="4104" max="4104" width="10" style="454" customWidth="1"/>
    <col min="4105" max="4349" width="9" style="454"/>
    <col min="4350" max="4351" width="9" style="454" customWidth="1"/>
    <col min="4352" max="4352" width="6.625" style="454" customWidth="1"/>
    <col min="4353" max="4353" width="16.5" style="454" customWidth="1"/>
    <col min="4354" max="4354" width="10.875" style="454" customWidth="1"/>
    <col min="4355" max="4355" width="9" style="454" customWidth="1"/>
    <col min="4356" max="4356" width="9.75" style="454" bestFit="1" customWidth="1"/>
    <col min="4357" max="4358" width="9" style="454" customWidth="1"/>
    <col min="4359" max="4359" width="6.125" style="454" customWidth="1"/>
    <col min="4360" max="4360" width="10" style="454" customWidth="1"/>
    <col min="4361" max="4605" width="9" style="454"/>
    <col min="4606" max="4607" width="9" style="454" customWidth="1"/>
    <col min="4608" max="4608" width="6.625" style="454" customWidth="1"/>
    <col min="4609" max="4609" width="16.5" style="454" customWidth="1"/>
    <col min="4610" max="4610" width="10.875" style="454" customWidth="1"/>
    <col min="4611" max="4611" width="9" style="454" customWidth="1"/>
    <col min="4612" max="4612" width="9.75" style="454" bestFit="1" customWidth="1"/>
    <col min="4613" max="4614" width="9" style="454" customWidth="1"/>
    <col min="4615" max="4615" width="6.125" style="454" customWidth="1"/>
    <col min="4616" max="4616" width="10" style="454" customWidth="1"/>
    <col min="4617" max="4861" width="9" style="454"/>
    <col min="4862" max="4863" width="9" style="454" customWidth="1"/>
    <col min="4864" max="4864" width="6.625" style="454" customWidth="1"/>
    <col min="4865" max="4865" width="16.5" style="454" customWidth="1"/>
    <col min="4866" max="4866" width="10.875" style="454" customWidth="1"/>
    <col min="4867" max="4867" width="9" style="454" customWidth="1"/>
    <col min="4868" max="4868" width="9.75" style="454" bestFit="1" customWidth="1"/>
    <col min="4869" max="4870" width="9" style="454" customWidth="1"/>
    <col min="4871" max="4871" width="6.125" style="454" customWidth="1"/>
    <col min="4872" max="4872" width="10" style="454" customWidth="1"/>
    <col min="4873" max="5117" width="9" style="454"/>
    <col min="5118" max="5119" width="9" style="454" customWidth="1"/>
    <col min="5120" max="5120" width="6.625" style="454" customWidth="1"/>
    <col min="5121" max="5121" width="16.5" style="454" customWidth="1"/>
    <col min="5122" max="5122" width="10.875" style="454" customWidth="1"/>
    <col min="5123" max="5123" width="9" style="454" customWidth="1"/>
    <col min="5124" max="5124" width="9.75" style="454" bestFit="1" customWidth="1"/>
    <col min="5125" max="5126" width="9" style="454" customWidth="1"/>
    <col min="5127" max="5127" width="6.125" style="454" customWidth="1"/>
    <col min="5128" max="5128" width="10" style="454" customWidth="1"/>
    <col min="5129" max="5373" width="9" style="454"/>
    <col min="5374" max="5375" width="9" style="454" customWidth="1"/>
    <col min="5376" max="5376" width="6.625" style="454" customWidth="1"/>
    <col min="5377" max="5377" width="16.5" style="454" customWidth="1"/>
    <col min="5378" max="5378" width="10.875" style="454" customWidth="1"/>
    <col min="5379" max="5379" width="9" style="454" customWidth="1"/>
    <col min="5380" max="5380" width="9.75" style="454" bestFit="1" customWidth="1"/>
    <col min="5381" max="5382" width="9" style="454" customWidth="1"/>
    <col min="5383" max="5383" width="6.125" style="454" customWidth="1"/>
    <col min="5384" max="5384" width="10" style="454" customWidth="1"/>
    <col min="5385" max="5629" width="9" style="454"/>
    <col min="5630" max="5631" width="9" style="454" customWidth="1"/>
    <col min="5632" max="5632" width="6.625" style="454" customWidth="1"/>
    <col min="5633" max="5633" width="16.5" style="454" customWidth="1"/>
    <col min="5634" max="5634" width="10.875" style="454" customWidth="1"/>
    <col min="5635" max="5635" width="9" style="454" customWidth="1"/>
    <col min="5636" max="5636" width="9.75" style="454" bestFit="1" customWidth="1"/>
    <col min="5637" max="5638" width="9" style="454" customWidth="1"/>
    <col min="5639" max="5639" width="6.125" style="454" customWidth="1"/>
    <col min="5640" max="5640" width="10" style="454" customWidth="1"/>
    <col min="5641" max="5885" width="9" style="454"/>
    <col min="5886" max="5887" width="9" style="454" customWidth="1"/>
    <col min="5888" max="5888" width="6.625" style="454" customWidth="1"/>
    <col min="5889" max="5889" width="16.5" style="454" customWidth="1"/>
    <col min="5890" max="5890" width="10.875" style="454" customWidth="1"/>
    <col min="5891" max="5891" width="9" style="454" customWidth="1"/>
    <col min="5892" max="5892" width="9.75" style="454" bestFit="1" customWidth="1"/>
    <col min="5893" max="5894" width="9" style="454" customWidth="1"/>
    <col min="5895" max="5895" width="6.125" style="454" customWidth="1"/>
    <col min="5896" max="5896" width="10" style="454" customWidth="1"/>
    <col min="5897" max="6141" width="9" style="454"/>
    <col min="6142" max="6143" width="9" style="454" customWidth="1"/>
    <col min="6144" max="6144" width="6.625" style="454" customWidth="1"/>
    <col min="6145" max="6145" width="16.5" style="454" customWidth="1"/>
    <col min="6146" max="6146" width="10.875" style="454" customWidth="1"/>
    <col min="6147" max="6147" width="9" style="454" customWidth="1"/>
    <col min="6148" max="6148" width="9.75" style="454" bestFit="1" customWidth="1"/>
    <col min="6149" max="6150" width="9" style="454" customWidth="1"/>
    <col min="6151" max="6151" width="6.125" style="454" customWidth="1"/>
    <col min="6152" max="6152" width="10" style="454" customWidth="1"/>
    <col min="6153" max="6397" width="9" style="454"/>
    <col min="6398" max="6399" width="9" style="454" customWidth="1"/>
    <col min="6400" max="6400" width="6.625" style="454" customWidth="1"/>
    <col min="6401" max="6401" width="16.5" style="454" customWidth="1"/>
    <col min="6402" max="6402" width="10.875" style="454" customWidth="1"/>
    <col min="6403" max="6403" width="9" style="454" customWidth="1"/>
    <col min="6404" max="6404" width="9.75" style="454" bestFit="1" customWidth="1"/>
    <col min="6405" max="6406" width="9" style="454" customWidth="1"/>
    <col min="6407" max="6407" width="6.125" style="454" customWidth="1"/>
    <col min="6408" max="6408" width="10" style="454" customWidth="1"/>
    <col min="6409" max="6653" width="9" style="454"/>
    <col min="6654" max="6655" width="9" style="454" customWidth="1"/>
    <col min="6656" max="6656" width="6.625" style="454" customWidth="1"/>
    <col min="6657" max="6657" width="16.5" style="454" customWidth="1"/>
    <col min="6658" max="6658" width="10.875" style="454" customWidth="1"/>
    <col min="6659" max="6659" width="9" style="454" customWidth="1"/>
    <col min="6660" max="6660" width="9.75" style="454" bestFit="1" customWidth="1"/>
    <col min="6661" max="6662" width="9" style="454" customWidth="1"/>
    <col min="6663" max="6663" width="6.125" style="454" customWidth="1"/>
    <col min="6664" max="6664" width="10" style="454" customWidth="1"/>
    <col min="6665" max="6909" width="9" style="454"/>
    <col min="6910" max="6911" width="9" style="454" customWidth="1"/>
    <col min="6912" max="6912" width="6.625" style="454" customWidth="1"/>
    <col min="6913" max="6913" width="16.5" style="454" customWidth="1"/>
    <col min="6914" max="6914" width="10.875" style="454" customWidth="1"/>
    <col min="6915" max="6915" width="9" style="454" customWidth="1"/>
    <col min="6916" max="6916" width="9.75" style="454" bestFit="1" customWidth="1"/>
    <col min="6917" max="6918" width="9" style="454" customWidth="1"/>
    <col min="6919" max="6919" width="6.125" style="454" customWidth="1"/>
    <col min="6920" max="6920" width="10" style="454" customWidth="1"/>
    <col min="6921" max="7165" width="9" style="454"/>
    <col min="7166" max="7167" width="9" style="454" customWidth="1"/>
    <col min="7168" max="7168" width="6.625" style="454" customWidth="1"/>
    <col min="7169" max="7169" width="16.5" style="454" customWidth="1"/>
    <col min="7170" max="7170" width="10.875" style="454" customWidth="1"/>
    <col min="7171" max="7171" width="9" style="454" customWidth="1"/>
    <col min="7172" max="7172" width="9.75" style="454" bestFit="1" customWidth="1"/>
    <col min="7173" max="7174" width="9" style="454" customWidth="1"/>
    <col min="7175" max="7175" width="6.125" style="454" customWidth="1"/>
    <col min="7176" max="7176" width="10" style="454" customWidth="1"/>
    <col min="7177" max="7421" width="9" style="454"/>
    <col min="7422" max="7423" width="9" style="454" customWidth="1"/>
    <col min="7424" max="7424" width="6.625" style="454" customWidth="1"/>
    <col min="7425" max="7425" width="16.5" style="454" customWidth="1"/>
    <col min="7426" max="7426" width="10.875" style="454" customWidth="1"/>
    <col min="7427" max="7427" width="9" style="454" customWidth="1"/>
    <col min="7428" max="7428" width="9.75" style="454" bestFit="1" customWidth="1"/>
    <col min="7429" max="7430" width="9" style="454" customWidth="1"/>
    <col min="7431" max="7431" width="6.125" style="454" customWidth="1"/>
    <col min="7432" max="7432" width="10" style="454" customWidth="1"/>
    <col min="7433" max="7677" width="9" style="454"/>
    <col min="7678" max="7679" width="9" style="454" customWidth="1"/>
    <col min="7680" max="7680" width="6.625" style="454" customWidth="1"/>
    <col min="7681" max="7681" width="16.5" style="454" customWidth="1"/>
    <col min="7682" max="7682" width="10.875" style="454" customWidth="1"/>
    <col min="7683" max="7683" width="9" style="454" customWidth="1"/>
    <col min="7684" max="7684" width="9.75" style="454" bestFit="1" customWidth="1"/>
    <col min="7685" max="7686" width="9" style="454" customWidth="1"/>
    <col min="7687" max="7687" width="6.125" style="454" customWidth="1"/>
    <col min="7688" max="7688" width="10" style="454" customWidth="1"/>
    <col min="7689" max="7933" width="9" style="454"/>
    <col min="7934" max="7935" width="9" style="454" customWidth="1"/>
    <col min="7936" max="7936" width="6.625" style="454" customWidth="1"/>
    <col min="7937" max="7937" width="16.5" style="454" customWidth="1"/>
    <col min="7938" max="7938" width="10.875" style="454" customWidth="1"/>
    <col min="7939" max="7939" width="9" style="454" customWidth="1"/>
    <col min="7940" max="7940" width="9.75" style="454" bestFit="1" customWidth="1"/>
    <col min="7941" max="7942" width="9" style="454" customWidth="1"/>
    <col min="7943" max="7943" width="6.125" style="454" customWidth="1"/>
    <col min="7944" max="7944" width="10" style="454" customWidth="1"/>
    <col min="7945" max="8189" width="9" style="454"/>
    <col min="8190" max="8191" width="9" style="454" customWidth="1"/>
    <col min="8192" max="8192" width="6.625" style="454" customWidth="1"/>
    <col min="8193" max="8193" width="16.5" style="454" customWidth="1"/>
    <col min="8194" max="8194" width="10.875" style="454" customWidth="1"/>
    <col min="8195" max="8195" width="9" style="454" customWidth="1"/>
    <col min="8196" max="8196" width="9.75" style="454" bestFit="1" customWidth="1"/>
    <col min="8197" max="8198" width="9" style="454" customWidth="1"/>
    <col min="8199" max="8199" width="6.125" style="454" customWidth="1"/>
    <col min="8200" max="8200" width="10" style="454" customWidth="1"/>
    <col min="8201" max="8445" width="9" style="454"/>
    <col min="8446" max="8447" width="9" style="454" customWidth="1"/>
    <col min="8448" max="8448" width="6.625" style="454" customWidth="1"/>
    <col min="8449" max="8449" width="16.5" style="454" customWidth="1"/>
    <col min="8450" max="8450" width="10.875" style="454" customWidth="1"/>
    <col min="8451" max="8451" width="9" style="454" customWidth="1"/>
    <col min="8452" max="8452" width="9.75" style="454" bestFit="1" customWidth="1"/>
    <col min="8453" max="8454" width="9" style="454" customWidth="1"/>
    <col min="8455" max="8455" width="6.125" style="454" customWidth="1"/>
    <col min="8456" max="8456" width="10" style="454" customWidth="1"/>
    <col min="8457" max="8701" width="9" style="454"/>
    <col min="8702" max="8703" width="9" style="454" customWidth="1"/>
    <col min="8704" max="8704" width="6.625" style="454" customWidth="1"/>
    <col min="8705" max="8705" width="16.5" style="454" customWidth="1"/>
    <col min="8706" max="8706" width="10.875" style="454" customWidth="1"/>
    <col min="8707" max="8707" width="9" style="454" customWidth="1"/>
    <col min="8708" max="8708" width="9.75" style="454" bestFit="1" customWidth="1"/>
    <col min="8709" max="8710" width="9" style="454" customWidth="1"/>
    <col min="8711" max="8711" width="6.125" style="454" customWidth="1"/>
    <col min="8712" max="8712" width="10" style="454" customWidth="1"/>
    <col min="8713" max="8957" width="9" style="454"/>
    <col min="8958" max="8959" width="9" style="454" customWidth="1"/>
    <col min="8960" max="8960" width="6.625" style="454" customWidth="1"/>
    <col min="8961" max="8961" width="16.5" style="454" customWidth="1"/>
    <col min="8962" max="8962" width="10.875" style="454" customWidth="1"/>
    <col min="8963" max="8963" width="9" style="454" customWidth="1"/>
    <col min="8964" max="8964" width="9.75" style="454" bestFit="1" customWidth="1"/>
    <col min="8965" max="8966" width="9" style="454" customWidth="1"/>
    <col min="8967" max="8967" width="6.125" style="454" customWidth="1"/>
    <col min="8968" max="8968" width="10" style="454" customWidth="1"/>
    <col min="8969" max="9213" width="9" style="454"/>
    <col min="9214" max="9215" width="9" style="454" customWidth="1"/>
    <col min="9216" max="9216" width="6.625" style="454" customWidth="1"/>
    <col min="9217" max="9217" width="16.5" style="454" customWidth="1"/>
    <col min="9218" max="9218" width="10.875" style="454" customWidth="1"/>
    <col min="9219" max="9219" width="9" style="454" customWidth="1"/>
    <col min="9220" max="9220" width="9.75" style="454" bestFit="1" customWidth="1"/>
    <col min="9221" max="9222" width="9" style="454" customWidth="1"/>
    <col min="9223" max="9223" width="6.125" style="454" customWidth="1"/>
    <col min="9224" max="9224" width="10" style="454" customWidth="1"/>
    <col min="9225" max="9469" width="9" style="454"/>
    <col min="9470" max="9471" width="9" style="454" customWidth="1"/>
    <col min="9472" max="9472" width="6.625" style="454" customWidth="1"/>
    <col min="9473" max="9473" width="16.5" style="454" customWidth="1"/>
    <col min="9474" max="9474" width="10.875" style="454" customWidth="1"/>
    <col min="9475" max="9475" width="9" style="454" customWidth="1"/>
    <col min="9476" max="9476" width="9.75" style="454" bestFit="1" customWidth="1"/>
    <col min="9477" max="9478" width="9" style="454" customWidth="1"/>
    <col min="9479" max="9479" width="6.125" style="454" customWidth="1"/>
    <col min="9480" max="9480" width="10" style="454" customWidth="1"/>
    <col min="9481" max="9725" width="9" style="454"/>
    <col min="9726" max="9727" width="9" style="454" customWidth="1"/>
    <col min="9728" max="9728" width="6.625" style="454" customWidth="1"/>
    <col min="9729" max="9729" width="16.5" style="454" customWidth="1"/>
    <col min="9730" max="9730" width="10.875" style="454" customWidth="1"/>
    <col min="9731" max="9731" width="9" style="454" customWidth="1"/>
    <col min="9732" max="9732" width="9.75" style="454" bestFit="1" customWidth="1"/>
    <col min="9733" max="9734" width="9" style="454" customWidth="1"/>
    <col min="9735" max="9735" width="6.125" style="454" customWidth="1"/>
    <col min="9736" max="9736" width="10" style="454" customWidth="1"/>
    <col min="9737" max="9981" width="9" style="454"/>
    <col min="9982" max="9983" width="9" style="454" customWidth="1"/>
    <col min="9984" max="9984" width="6.625" style="454" customWidth="1"/>
    <col min="9985" max="9985" width="16.5" style="454" customWidth="1"/>
    <col min="9986" max="9986" width="10.875" style="454" customWidth="1"/>
    <col min="9987" max="9987" width="9" style="454" customWidth="1"/>
    <col min="9988" max="9988" width="9.75" style="454" bestFit="1" customWidth="1"/>
    <col min="9989" max="9990" width="9" style="454" customWidth="1"/>
    <col min="9991" max="9991" width="6.125" style="454" customWidth="1"/>
    <col min="9992" max="9992" width="10" style="454" customWidth="1"/>
    <col min="9993" max="10237" width="9" style="454"/>
    <col min="10238" max="10239" width="9" style="454" customWidth="1"/>
    <col min="10240" max="10240" width="6.625" style="454" customWidth="1"/>
    <col min="10241" max="10241" width="16.5" style="454" customWidth="1"/>
    <col min="10242" max="10242" width="10.875" style="454" customWidth="1"/>
    <col min="10243" max="10243" width="9" style="454" customWidth="1"/>
    <col min="10244" max="10244" width="9.75" style="454" bestFit="1" customWidth="1"/>
    <col min="10245" max="10246" width="9" style="454" customWidth="1"/>
    <col min="10247" max="10247" width="6.125" style="454" customWidth="1"/>
    <col min="10248" max="10248" width="10" style="454" customWidth="1"/>
    <col min="10249" max="10493" width="9" style="454"/>
    <col min="10494" max="10495" width="9" style="454" customWidth="1"/>
    <col min="10496" max="10496" width="6.625" style="454" customWidth="1"/>
    <col min="10497" max="10497" width="16.5" style="454" customWidth="1"/>
    <col min="10498" max="10498" width="10.875" style="454" customWidth="1"/>
    <col min="10499" max="10499" width="9" style="454" customWidth="1"/>
    <col min="10500" max="10500" width="9.75" style="454" bestFit="1" customWidth="1"/>
    <col min="10501" max="10502" width="9" style="454" customWidth="1"/>
    <col min="10503" max="10503" width="6.125" style="454" customWidth="1"/>
    <col min="10504" max="10504" width="10" style="454" customWidth="1"/>
    <col min="10505" max="10749" width="9" style="454"/>
    <col min="10750" max="10751" width="9" style="454" customWidth="1"/>
    <col min="10752" max="10752" width="6.625" style="454" customWidth="1"/>
    <col min="10753" max="10753" width="16.5" style="454" customWidth="1"/>
    <col min="10754" max="10754" width="10.875" style="454" customWidth="1"/>
    <col min="10755" max="10755" width="9" style="454" customWidth="1"/>
    <col min="10756" max="10756" width="9.75" style="454" bestFit="1" customWidth="1"/>
    <col min="10757" max="10758" width="9" style="454" customWidth="1"/>
    <col min="10759" max="10759" width="6.125" style="454" customWidth="1"/>
    <col min="10760" max="10760" width="10" style="454" customWidth="1"/>
    <col min="10761" max="11005" width="9" style="454"/>
    <col min="11006" max="11007" width="9" style="454" customWidth="1"/>
    <col min="11008" max="11008" width="6.625" style="454" customWidth="1"/>
    <col min="11009" max="11009" width="16.5" style="454" customWidth="1"/>
    <col min="11010" max="11010" width="10.875" style="454" customWidth="1"/>
    <col min="11011" max="11011" width="9" style="454" customWidth="1"/>
    <col min="11012" max="11012" width="9.75" style="454" bestFit="1" customWidth="1"/>
    <col min="11013" max="11014" width="9" style="454" customWidth="1"/>
    <col min="11015" max="11015" width="6.125" style="454" customWidth="1"/>
    <col min="11016" max="11016" width="10" style="454" customWidth="1"/>
    <col min="11017" max="11261" width="9" style="454"/>
    <col min="11262" max="11263" width="9" style="454" customWidth="1"/>
    <col min="11264" max="11264" width="6.625" style="454" customWidth="1"/>
    <col min="11265" max="11265" width="16.5" style="454" customWidth="1"/>
    <col min="11266" max="11266" width="10.875" style="454" customWidth="1"/>
    <col min="11267" max="11267" width="9" style="454" customWidth="1"/>
    <col min="11268" max="11268" width="9.75" style="454" bestFit="1" customWidth="1"/>
    <col min="11269" max="11270" width="9" style="454" customWidth="1"/>
    <col min="11271" max="11271" width="6.125" style="454" customWidth="1"/>
    <col min="11272" max="11272" width="10" style="454" customWidth="1"/>
    <col min="11273" max="11517" width="9" style="454"/>
    <col min="11518" max="11519" width="9" style="454" customWidth="1"/>
    <col min="11520" max="11520" width="6.625" style="454" customWidth="1"/>
    <col min="11521" max="11521" width="16.5" style="454" customWidth="1"/>
    <col min="11522" max="11522" width="10.875" style="454" customWidth="1"/>
    <col min="11523" max="11523" width="9" style="454" customWidth="1"/>
    <col min="11524" max="11524" width="9.75" style="454" bestFit="1" customWidth="1"/>
    <col min="11525" max="11526" width="9" style="454" customWidth="1"/>
    <col min="11527" max="11527" width="6.125" style="454" customWidth="1"/>
    <col min="11528" max="11528" width="10" style="454" customWidth="1"/>
    <col min="11529" max="11773" width="9" style="454"/>
    <col min="11774" max="11775" width="9" style="454" customWidth="1"/>
    <col min="11776" max="11776" width="6.625" style="454" customWidth="1"/>
    <col min="11777" max="11777" width="16.5" style="454" customWidth="1"/>
    <col min="11778" max="11778" width="10.875" style="454" customWidth="1"/>
    <col min="11779" max="11779" width="9" style="454" customWidth="1"/>
    <col min="11780" max="11780" width="9.75" style="454" bestFit="1" customWidth="1"/>
    <col min="11781" max="11782" width="9" style="454" customWidth="1"/>
    <col min="11783" max="11783" width="6.125" style="454" customWidth="1"/>
    <col min="11784" max="11784" width="10" style="454" customWidth="1"/>
    <col min="11785" max="12029" width="9" style="454"/>
    <col min="12030" max="12031" width="9" style="454" customWidth="1"/>
    <col min="12032" max="12032" width="6.625" style="454" customWidth="1"/>
    <col min="12033" max="12033" width="16.5" style="454" customWidth="1"/>
    <col min="12034" max="12034" width="10.875" style="454" customWidth="1"/>
    <col min="12035" max="12035" width="9" style="454" customWidth="1"/>
    <col min="12036" max="12036" width="9.75" style="454" bestFit="1" customWidth="1"/>
    <col min="12037" max="12038" width="9" style="454" customWidth="1"/>
    <col min="12039" max="12039" width="6.125" style="454" customWidth="1"/>
    <col min="12040" max="12040" width="10" style="454" customWidth="1"/>
    <col min="12041" max="12285" width="9" style="454"/>
    <col min="12286" max="12287" width="9" style="454" customWidth="1"/>
    <col min="12288" max="12288" width="6.625" style="454" customWidth="1"/>
    <col min="12289" max="12289" width="16.5" style="454" customWidth="1"/>
    <col min="12290" max="12290" width="10.875" style="454" customWidth="1"/>
    <col min="12291" max="12291" width="9" style="454" customWidth="1"/>
    <col min="12292" max="12292" width="9.75" style="454" bestFit="1" customWidth="1"/>
    <col min="12293" max="12294" width="9" style="454" customWidth="1"/>
    <col min="12295" max="12295" width="6.125" style="454" customWidth="1"/>
    <col min="12296" max="12296" width="10" style="454" customWidth="1"/>
    <col min="12297" max="12541" width="9" style="454"/>
    <col min="12542" max="12543" width="9" style="454" customWidth="1"/>
    <col min="12544" max="12544" width="6.625" style="454" customWidth="1"/>
    <col min="12545" max="12545" width="16.5" style="454" customWidth="1"/>
    <col min="12546" max="12546" width="10.875" style="454" customWidth="1"/>
    <col min="12547" max="12547" width="9" style="454" customWidth="1"/>
    <col min="12548" max="12548" width="9.75" style="454" bestFit="1" customWidth="1"/>
    <col min="12549" max="12550" width="9" style="454" customWidth="1"/>
    <col min="12551" max="12551" width="6.125" style="454" customWidth="1"/>
    <col min="12552" max="12552" width="10" style="454" customWidth="1"/>
    <col min="12553" max="12797" width="9" style="454"/>
    <col min="12798" max="12799" width="9" style="454" customWidth="1"/>
    <col min="12800" max="12800" width="6.625" style="454" customWidth="1"/>
    <col min="12801" max="12801" width="16.5" style="454" customWidth="1"/>
    <col min="12802" max="12802" width="10.875" style="454" customWidth="1"/>
    <col min="12803" max="12803" width="9" style="454" customWidth="1"/>
    <col min="12804" max="12804" width="9.75" style="454" bestFit="1" customWidth="1"/>
    <col min="12805" max="12806" width="9" style="454" customWidth="1"/>
    <col min="12807" max="12807" width="6.125" style="454" customWidth="1"/>
    <col min="12808" max="12808" width="10" style="454" customWidth="1"/>
    <col min="12809" max="13053" width="9" style="454"/>
    <col min="13054" max="13055" width="9" style="454" customWidth="1"/>
    <col min="13056" max="13056" width="6.625" style="454" customWidth="1"/>
    <col min="13057" max="13057" width="16.5" style="454" customWidth="1"/>
    <col min="13058" max="13058" width="10.875" style="454" customWidth="1"/>
    <col min="13059" max="13059" width="9" style="454" customWidth="1"/>
    <col min="13060" max="13060" width="9.75" style="454" bestFit="1" customWidth="1"/>
    <col min="13061" max="13062" width="9" style="454" customWidth="1"/>
    <col min="13063" max="13063" width="6.125" style="454" customWidth="1"/>
    <col min="13064" max="13064" width="10" style="454" customWidth="1"/>
    <col min="13065" max="13309" width="9" style="454"/>
    <col min="13310" max="13311" width="9" style="454" customWidth="1"/>
    <col min="13312" max="13312" width="6.625" style="454" customWidth="1"/>
    <col min="13313" max="13313" width="16.5" style="454" customWidth="1"/>
    <col min="13314" max="13314" width="10.875" style="454" customWidth="1"/>
    <col min="13315" max="13315" width="9" style="454" customWidth="1"/>
    <col min="13316" max="13316" width="9.75" style="454" bestFit="1" customWidth="1"/>
    <col min="13317" max="13318" width="9" style="454" customWidth="1"/>
    <col min="13319" max="13319" width="6.125" style="454" customWidth="1"/>
    <col min="13320" max="13320" width="10" style="454" customWidth="1"/>
    <col min="13321" max="13565" width="9" style="454"/>
    <col min="13566" max="13567" width="9" style="454" customWidth="1"/>
    <col min="13568" max="13568" width="6.625" style="454" customWidth="1"/>
    <col min="13569" max="13569" width="16.5" style="454" customWidth="1"/>
    <col min="13570" max="13570" width="10.875" style="454" customWidth="1"/>
    <col min="13571" max="13571" width="9" style="454" customWidth="1"/>
    <col min="13572" max="13572" width="9.75" style="454" bestFit="1" customWidth="1"/>
    <col min="13573" max="13574" width="9" style="454" customWidth="1"/>
    <col min="13575" max="13575" width="6.125" style="454" customWidth="1"/>
    <col min="13576" max="13576" width="10" style="454" customWidth="1"/>
    <col min="13577" max="13821" width="9" style="454"/>
    <col min="13822" max="13823" width="9" style="454" customWidth="1"/>
    <col min="13824" max="13824" width="6.625" style="454" customWidth="1"/>
    <col min="13825" max="13825" width="16.5" style="454" customWidth="1"/>
    <col min="13826" max="13826" width="10.875" style="454" customWidth="1"/>
    <col min="13827" max="13827" width="9" style="454" customWidth="1"/>
    <col min="13828" max="13828" width="9.75" style="454" bestFit="1" customWidth="1"/>
    <col min="13829" max="13830" width="9" style="454" customWidth="1"/>
    <col min="13831" max="13831" width="6.125" style="454" customWidth="1"/>
    <col min="13832" max="13832" width="10" style="454" customWidth="1"/>
    <col min="13833" max="14077" width="9" style="454"/>
    <col min="14078" max="14079" width="9" style="454" customWidth="1"/>
    <col min="14080" max="14080" width="6.625" style="454" customWidth="1"/>
    <col min="14081" max="14081" width="16.5" style="454" customWidth="1"/>
    <col min="14082" max="14082" width="10.875" style="454" customWidth="1"/>
    <col min="14083" max="14083" width="9" style="454" customWidth="1"/>
    <col min="14084" max="14084" width="9.75" style="454" bestFit="1" customWidth="1"/>
    <col min="14085" max="14086" width="9" style="454" customWidth="1"/>
    <col min="14087" max="14087" width="6.125" style="454" customWidth="1"/>
    <col min="14088" max="14088" width="10" style="454" customWidth="1"/>
    <col min="14089" max="14333" width="9" style="454"/>
    <col min="14334" max="14335" width="9" style="454" customWidth="1"/>
    <col min="14336" max="14336" width="6.625" style="454" customWidth="1"/>
    <col min="14337" max="14337" width="16.5" style="454" customWidth="1"/>
    <col min="14338" max="14338" width="10.875" style="454" customWidth="1"/>
    <col min="14339" max="14339" width="9" style="454" customWidth="1"/>
    <col min="14340" max="14340" width="9.75" style="454" bestFit="1" customWidth="1"/>
    <col min="14341" max="14342" width="9" style="454" customWidth="1"/>
    <col min="14343" max="14343" width="6.125" style="454" customWidth="1"/>
    <col min="14344" max="14344" width="10" style="454" customWidth="1"/>
    <col min="14345" max="14589" width="9" style="454"/>
    <col min="14590" max="14591" width="9" style="454" customWidth="1"/>
    <col min="14592" max="14592" width="6.625" style="454" customWidth="1"/>
    <col min="14593" max="14593" width="16.5" style="454" customWidth="1"/>
    <col min="14594" max="14594" width="10.875" style="454" customWidth="1"/>
    <col min="14595" max="14595" width="9" style="454" customWidth="1"/>
    <col min="14596" max="14596" width="9.75" style="454" bestFit="1" customWidth="1"/>
    <col min="14597" max="14598" width="9" style="454" customWidth="1"/>
    <col min="14599" max="14599" width="6.125" style="454" customWidth="1"/>
    <col min="14600" max="14600" width="10" style="454" customWidth="1"/>
    <col min="14601" max="14845" width="9" style="454"/>
    <col min="14846" max="14847" width="9" style="454" customWidth="1"/>
    <col min="14848" max="14848" width="6.625" style="454" customWidth="1"/>
    <col min="14849" max="14849" width="16.5" style="454" customWidth="1"/>
    <col min="14850" max="14850" width="10.875" style="454" customWidth="1"/>
    <col min="14851" max="14851" width="9" style="454" customWidth="1"/>
    <col min="14852" max="14852" width="9.75" style="454" bestFit="1" customWidth="1"/>
    <col min="14853" max="14854" width="9" style="454" customWidth="1"/>
    <col min="14855" max="14855" width="6.125" style="454" customWidth="1"/>
    <col min="14856" max="14856" width="10" style="454" customWidth="1"/>
    <col min="14857" max="15101" width="9" style="454"/>
    <col min="15102" max="15103" width="9" style="454" customWidth="1"/>
    <col min="15104" max="15104" width="6.625" style="454" customWidth="1"/>
    <col min="15105" max="15105" width="16.5" style="454" customWidth="1"/>
    <col min="15106" max="15106" width="10.875" style="454" customWidth="1"/>
    <col min="15107" max="15107" width="9" style="454" customWidth="1"/>
    <col min="15108" max="15108" width="9.75" style="454" bestFit="1" customWidth="1"/>
    <col min="15109" max="15110" width="9" style="454" customWidth="1"/>
    <col min="15111" max="15111" width="6.125" style="454" customWidth="1"/>
    <col min="15112" max="15112" width="10" style="454" customWidth="1"/>
    <col min="15113" max="15357" width="9" style="454"/>
    <col min="15358" max="15359" width="9" style="454" customWidth="1"/>
    <col min="15360" max="15360" width="6.625" style="454" customWidth="1"/>
    <col min="15361" max="15361" width="16.5" style="454" customWidth="1"/>
    <col min="15362" max="15362" width="10.875" style="454" customWidth="1"/>
    <col min="15363" max="15363" width="9" style="454" customWidth="1"/>
    <col min="15364" max="15364" width="9.75" style="454" bestFit="1" customWidth="1"/>
    <col min="15365" max="15366" width="9" style="454" customWidth="1"/>
    <col min="15367" max="15367" width="6.125" style="454" customWidth="1"/>
    <col min="15368" max="15368" width="10" style="454" customWidth="1"/>
    <col min="15369" max="15613" width="9" style="454"/>
    <col min="15614" max="15615" width="9" style="454" customWidth="1"/>
    <col min="15616" max="15616" width="6.625" style="454" customWidth="1"/>
    <col min="15617" max="15617" width="16.5" style="454" customWidth="1"/>
    <col min="15618" max="15618" width="10.875" style="454" customWidth="1"/>
    <col min="15619" max="15619" width="9" style="454" customWidth="1"/>
    <col min="15620" max="15620" width="9.75" style="454" bestFit="1" customWidth="1"/>
    <col min="15621" max="15622" width="9" style="454" customWidth="1"/>
    <col min="15623" max="15623" width="6.125" style="454" customWidth="1"/>
    <col min="15624" max="15624" width="10" style="454" customWidth="1"/>
    <col min="15625" max="15869" width="9" style="454"/>
    <col min="15870" max="15871" width="9" style="454" customWidth="1"/>
    <col min="15872" max="15872" width="6.625" style="454" customWidth="1"/>
    <col min="15873" max="15873" width="16.5" style="454" customWidth="1"/>
    <col min="15874" max="15874" width="10.875" style="454" customWidth="1"/>
    <col min="15875" max="15875" width="9" style="454" customWidth="1"/>
    <col min="15876" max="15876" width="9.75" style="454" bestFit="1" customWidth="1"/>
    <col min="15877" max="15878" width="9" style="454" customWidth="1"/>
    <col min="15879" max="15879" width="6.125" style="454" customWidth="1"/>
    <col min="15880" max="15880" width="10" style="454" customWidth="1"/>
    <col min="15881" max="16125" width="9" style="454"/>
    <col min="16126" max="16127" width="9" style="454" customWidth="1"/>
    <col min="16128" max="16128" width="6.625" style="454" customWidth="1"/>
    <col min="16129" max="16129" width="16.5" style="454" customWidth="1"/>
    <col min="16130" max="16130" width="10.875" style="454" customWidth="1"/>
    <col min="16131" max="16131" width="9" style="454" customWidth="1"/>
    <col min="16132" max="16132" width="9.75" style="454" bestFit="1" customWidth="1"/>
    <col min="16133" max="16134" width="9" style="454" customWidth="1"/>
    <col min="16135" max="16135" width="6.125" style="454" customWidth="1"/>
    <col min="16136" max="16136" width="10" style="454" customWidth="1"/>
    <col min="16137" max="16384" width="9" style="454"/>
  </cols>
  <sheetData>
    <row r="1" spans="1:9">
      <c r="I1" s="454">
        <v>6</v>
      </c>
    </row>
    <row r="2" spans="1:9" ht="17.25" thickBot="1"/>
    <row r="3" spans="1:9">
      <c r="A3" s="456"/>
      <c r="B3" s="457"/>
      <c r="C3" s="457"/>
      <c r="D3" s="457"/>
      <c r="E3" s="458"/>
      <c r="F3" s="459"/>
      <c r="G3" s="606"/>
    </row>
    <row r="4" spans="1:9" s="462" customFormat="1" ht="20.25">
      <c r="A4" s="460"/>
      <c r="B4" s="671" t="s">
        <v>681</v>
      </c>
      <c r="C4" s="671"/>
      <c r="D4" s="671"/>
      <c r="E4" s="671"/>
      <c r="F4" s="461"/>
    </row>
    <row r="5" spans="1:9" ht="17.25" customHeight="1">
      <c r="A5" s="460"/>
      <c r="B5" s="463"/>
      <c r="C5" s="463"/>
      <c r="D5" s="463"/>
      <c r="E5" s="464"/>
      <c r="F5" s="461"/>
    </row>
    <row r="6" spans="1:9" ht="19.5">
      <c r="A6" s="460"/>
      <c r="B6" s="463"/>
      <c r="C6" s="463" t="s">
        <v>682</v>
      </c>
      <c r="D6" s="463" t="s">
        <v>683</v>
      </c>
      <c r="E6" s="464"/>
      <c r="F6" s="461"/>
    </row>
    <row r="7" spans="1:9" ht="19.5">
      <c r="A7" s="460"/>
      <c r="B7" s="463"/>
      <c r="C7" s="463">
        <v>1</v>
      </c>
      <c r="D7" s="468" t="s">
        <v>690</v>
      </c>
      <c r="E7" s="464"/>
      <c r="F7" s="461"/>
    </row>
    <row r="8" spans="1:9" ht="19.5">
      <c r="A8" s="460"/>
      <c r="B8" s="463"/>
      <c r="C8" s="463">
        <v>2</v>
      </c>
      <c r="D8" s="465" t="s">
        <v>684</v>
      </c>
      <c r="E8" s="464"/>
      <c r="F8" s="461"/>
    </row>
    <row r="9" spans="1:9" ht="19.5">
      <c r="A9" s="460"/>
      <c r="B9" s="463"/>
      <c r="C9" s="463">
        <v>3</v>
      </c>
      <c r="D9" s="468" t="s">
        <v>880</v>
      </c>
      <c r="E9" s="464"/>
      <c r="F9" s="461"/>
    </row>
    <row r="10" spans="1:9" ht="19.5">
      <c r="A10" s="460"/>
      <c r="B10" s="463"/>
      <c r="C10" s="463">
        <v>4</v>
      </c>
      <c r="D10" s="468" t="s">
        <v>881</v>
      </c>
      <c r="E10" s="464"/>
      <c r="F10" s="461"/>
    </row>
    <row r="11" spans="1:9" ht="19.5">
      <c r="A11" s="460"/>
      <c r="B11" s="463"/>
      <c r="C11" s="463">
        <v>5</v>
      </c>
      <c r="D11" s="468" t="s">
        <v>882</v>
      </c>
      <c r="E11" s="464"/>
      <c r="F11" s="461"/>
    </row>
    <row r="12" spans="1:9" ht="19.5">
      <c r="A12" s="460"/>
      <c r="B12" s="463"/>
      <c r="C12" s="463">
        <v>6</v>
      </c>
      <c r="D12" s="468" t="s">
        <v>883</v>
      </c>
      <c r="E12" s="464"/>
      <c r="F12" s="461"/>
    </row>
    <row r="13" spans="1:9" ht="19.5">
      <c r="A13" s="460"/>
      <c r="B13" s="463"/>
      <c r="C13" s="463">
        <v>7</v>
      </c>
      <c r="D13" s="467" t="s">
        <v>686</v>
      </c>
      <c r="E13" s="466"/>
      <c r="F13" s="461"/>
    </row>
    <row r="14" spans="1:9" ht="19.5">
      <c r="A14" s="460"/>
      <c r="B14" s="463"/>
      <c r="C14" s="463">
        <v>8</v>
      </c>
      <c r="D14" s="465" t="s">
        <v>687</v>
      </c>
      <c r="E14" s="466"/>
      <c r="F14" s="461"/>
    </row>
    <row r="15" spans="1:9" ht="19.5">
      <c r="A15" s="460"/>
      <c r="B15" s="463"/>
      <c r="C15" s="463">
        <v>9</v>
      </c>
      <c r="D15" s="465" t="s">
        <v>685</v>
      </c>
      <c r="E15" s="466"/>
      <c r="F15" s="461"/>
    </row>
    <row r="16" spans="1:9" ht="19.5">
      <c r="A16" s="460"/>
      <c r="B16" s="463"/>
      <c r="C16" s="463">
        <v>10</v>
      </c>
      <c r="D16" s="468" t="s">
        <v>688</v>
      </c>
      <c r="E16" s="466"/>
      <c r="F16" s="461"/>
    </row>
    <row r="17" spans="1:6" ht="19.5">
      <c r="A17" s="460"/>
      <c r="B17" s="463"/>
      <c r="C17" s="463">
        <v>11</v>
      </c>
      <c r="D17" s="465" t="s">
        <v>866</v>
      </c>
      <c r="E17" s="466"/>
      <c r="F17" s="461"/>
    </row>
    <row r="18" spans="1:6" ht="14.25">
      <c r="A18" s="460"/>
      <c r="B18" s="463"/>
      <c r="C18" s="463">
        <v>12</v>
      </c>
      <c r="D18" s="467" t="s">
        <v>886</v>
      </c>
      <c r="E18" s="454"/>
      <c r="F18" s="461"/>
    </row>
    <row r="19" spans="1:6" ht="14.25">
      <c r="A19" s="460"/>
      <c r="B19" s="463"/>
      <c r="C19" s="463">
        <v>13</v>
      </c>
      <c r="D19" s="469" t="s">
        <v>689</v>
      </c>
      <c r="E19" s="454"/>
      <c r="F19" s="461"/>
    </row>
    <row r="20" spans="1:6" ht="19.5">
      <c r="A20" s="460"/>
      <c r="B20" s="463"/>
      <c r="C20" s="463">
        <v>14</v>
      </c>
      <c r="D20" s="467" t="s">
        <v>884</v>
      </c>
      <c r="E20" s="464"/>
      <c r="F20" s="461"/>
    </row>
    <row r="21" spans="1:6" ht="17.25">
      <c r="A21" s="462"/>
      <c r="B21" s="462"/>
      <c r="C21" s="463">
        <v>15</v>
      </c>
      <c r="D21" s="468" t="s">
        <v>885</v>
      </c>
      <c r="E21" s="470"/>
      <c r="F21" s="471"/>
    </row>
    <row r="22" spans="1:6">
      <c r="A22" s="472"/>
      <c r="B22" s="462"/>
      <c r="C22" s="462"/>
      <c r="E22" s="470"/>
      <c r="F22" s="471"/>
    </row>
    <row r="23" spans="1:6" ht="17.25" thickBot="1">
      <c r="A23" s="612"/>
      <c r="B23" s="612"/>
      <c r="C23" s="612"/>
      <c r="D23" s="612"/>
      <c r="E23" s="613"/>
      <c r="F23" s="614"/>
    </row>
    <row r="24" spans="1:6">
      <c r="A24" s="462"/>
      <c r="B24" s="462"/>
      <c r="C24" s="462"/>
      <c r="D24" s="462"/>
      <c r="E24" s="470"/>
      <c r="F24" s="462"/>
    </row>
    <row r="25" spans="1:6" s="462" customFormat="1" ht="17.25" thickBot="1">
      <c r="E25" s="470"/>
    </row>
    <row r="26" spans="1:6">
      <c r="A26" s="672" t="s">
        <v>913</v>
      </c>
      <c r="B26" s="673"/>
      <c r="C26" s="607"/>
      <c r="D26" s="607"/>
      <c r="E26" s="608"/>
      <c r="F26" s="609"/>
    </row>
    <row r="27" spans="1:6">
      <c r="A27" s="674"/>
      <c r="B27" s="675"/>
      <c r="C27" s="462"/>
      <c r="D27" s="610">
        <v>496178</v>
      </c>
      <c r="E27" s="470"/>
      <c r="F27" s="611"/>
    </row>
    <row r="28" spans="1:6">
      <c r="A28" s="674"/>
      <c r="B28" s="675"/>
      <c r="C28" s="462"/>
      <c r="D28" s="610" t="s">
        <v>954</v>
      </c>
      <c r="E28" s="470"/>
      <c r="F28" s="611"/>
    </row>
    <row r="29" spans="1:6" ht="17.25" thickBot="1">
      <c r="A29" s="676"/>
      <c r="B29" s="677"/>
      <c r="C29" s="612"/>
      <c r="D29" s="612"/>
      <c r="E29" s="613"/>
      <c r="F29" s="614"/>
    </row>
  </sheetData>
  <mergeCells count="2">
    <mergeCell ref="B4:E4"/>
    <mergeCell ref="A26:B29"/>
  </mergeCells>
  <phoneticPr fontId="4" type="noConversion"/>
  <hyperlinks>
    <hyperlink ref="D14" location="工作量分布!A1" display="工作量分布"/>
    <hyperlink ref="D16" location="项目进度!A1" display="进度"/>
    <hyperlink ref="D8" location="项目属性!A1" display="项目属性"/>
    <hyperlink ref="D17" location="缺陷度量!A1" display="缺陷密度"/>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借验收缺陷度量"/>
    <hyperlink ref="D20" location="根因分析!A1" display="根因分析"/>
  </hyperlinks>
  <pageMargins left="0.75" right="0.75" top="1" bottom="1" header="0.5" footer="0.5"/>
  <pageSetup paperSize="9" orientation="portrait" horizontalDpi="4294967292"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5" name="Button 2">
              <controlPr defaultSize="0" print="0" autoFill="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F0"/>
  </sheetPr>
  <dimension ref="A1:I16"/>
  <sheetViews>
    <sheetView workbookViewId="0">
      <selection activeCell="G28" sqref="G28"/>
    </sheetView>
  </sheetViews>
  <sheetFormatPr defaultRowHeight="13.5"/>
  <sheetData>
    <row r="1" spans="1:9" ht="14.25">
      <c r="A1" s="684" t="s">
        <v>867</v>
      </c>
      <c r="B1" s="685"/>
      <c r="C1" s="685"/>
      <c r="D1" s="685"/>
      <c r="E1" s="685"/>
      <c r="F1" s="685"/>
      <c r="G1" s="685"/>
      <c r="H1" s="685"/>
      <c r="I1" s="685"/>
    </row>
    <row r="2" spans="1:9">
      <c r="A2" s="686" t="s">
        <v>868</v>
      </c>
      <c r="B2" s="687"/>
      <c r="C2" s="687"/>
      <c r="D2" s="687"/>
      <c r="E2" s="687"/>
      <c r="F2" s="687"/>
      <c r="G2" s="687"/>
      <c r="H2" s="687"/>
      <c r="I2" s="687"/>
    </row>
    <row r="3" spans="1:9">
      <c r="A3" s="687"/>
      <c r="B3" s="687"/>
      <c r="C3" s="687"/>
      <c r="D3" s="687"/>
      <c r="E3" s="687"/>
      <c r="F3" s="687"/>
      <c r="G3" s="687"/>
      <c r="H3" s="687"/>
      <c r="I3" s="687"/>
    </row>
    <row r="4" spans="1:9">
      <c r="A4" s="687"/>
      <c r="B4" s="687"/>
      <c r="C4" s="687"/>
      <c r="D4" s="687"/>
      <c r="E4" s="687"/>
      <c r="F4" s="687"/>
      <c r="G4" s="687"/>
      <c r="H4" s="687"/>
      <c r="I4" s="687"/>
    </row>
    <row r="5" spans="1:9">
      <c r="A5" s="687"/>
      <c r="B5" s="687"/>
      <c r="C5" s="687"/>
      <c r="D5" s="687"/>
      <c r="E5" s="687"/>
      <c r="F5" s="687"/>
      <c r="G5" s="687"/>
      <c r="H5" s="687"/>
      <c r="I5" s="687"/>
    </row>
    <row r="6" spans="1:9">
      <c r="A6" s="687"/>
      <c r="B6" s="687"/>
      <c r="C6" s="687"/>
      <c r="D6" s="687"/>
      <c r="E6" s="687"/>
      <c r="F6" s="687"/>
      <c r="G6" s="687"/>
      <c r="H6" s="687"/>
      <c r="I6" s="687"/>
    </row>
    <row r="7" spans="1:9">
      <c r="A7" s="687"/>
      <c r="B7" s="687"/>
      <c r="C7" s="687"/>
      <c r="D7" s="687"/>
      <c r="E7" s="687"/>
      <c r="F7" s="687"/>
      <c r="G7" s="687"/>
      <c r="H7" s="687"/>
      <c r="I7" s="687"/>
    </row>
    <row r="8" spans="1:9">
      <c r="A8" s="687"/>
      <c r="B8" s="687"/>
      <c r="C8" s="687"/>
      <c r="D8" s="687"/>
      <c r="E8" s="687"/>
      <c r="F8" s="687"/>
      <c r="G8" s="687"/>
      <c r="H8" s="687"/>
      <c r="I8" s="687"/>
    </row>
    <row r="9" spans="1:9">
      <c r="A9" s="687"/>
      <c r="B9" s="687"/>
      <c r="C9" s="687"/>
      <c r="D9" s="687"/>
      <c r="E9" s="687"/>
      <c r="F9" s="687"/>
      <c r="G9" s="687"/>
      <c r="H9" s="687"/>
      <c r="I9" s="687"/>
    </row>
    <row r="10" spans="1:9" ht="14.25">
      <c r="A10" s="684" t="s">
        <v>869</v>
      </c>
      <c r="B10" s="685"/>
      <c r="C10" s="685"/>
      <c r="D10" s="685"/>
      <c r="E10" s="685"/>
      <c r="F10" s="685"/>
      <c r="G10" s="685"/>
      <c r="H10" s="685"/>
      <c r="I10" s="685"/>
    </row>
    <row r="11" spans="1:9">
      <c r="A11" s="602" t="s">
        <v>887</v>
      </c>
      <c r="B11" s="602" t="s">
        <v>888</v>
      </c>
      <c r="C11" s="681" t="s">
        <v>889</v>
      </c>
      <c r="D11" s="682"/>
      <c r="E11" s="682"/>
      <c r="F11" s="682"/>
      <c r="G11" s="682"/>
      <c r="H11" s="682"/>
      <c r="I11" s="683"/>
    </row>
    <row r="12" spans="1:9" ht="14.25">
      <c r="A12" s="598">
        <v>1</v>
      </c>
      <c r="B12" s="599" t="s">
        <v>870</v>
      </c>
      <c r="C12" s="678" t="s">
        <v>871</v>
      </c>
      <c r="D12" s="679"/>
      <c r="E12" s="679"/>
      <c r="F12" s="679"/>
      <c r="G12" s="679"/>
      <c r="H12" s="679"/>
      <c r="I12" s="680"/>
    </row>
    <row r="13" spans="1:9" ht="14.25">
      <c r="A13" s="600">
        <v>2</v>
      </c>
      <c r="B13" s="601" t="s">
        <v>872</v>
      </c>
      <c r="C13" s="678" t="s">
        <v>873</v>
      </c>
      <c r="D13" s="679"/>
      <c r="E13" s="679"/>
      <c r="F13" s="679"/>
      <c r="G13" s="679"/>
      <c r="H13" s="679"/>
      <c r="I13" s="680"/>
    </row>
    <row r="14" spans="1:9" ht="14.25">
      <c r="A14" s="600">
        <v>3</v>
      </c>
      <c r="B14" s="602" t="s">
        <v>874</v>
      </c>
      <c r="C14" s="678" t="s">
        <v>875</v>
      </c>
      <c r="D14" s="679"/>
      <c r="E14" s="679"/>
      <c r="F14" s="679"/>
      <c r="G14" s="679"/>
      <c r="H14" s="679"/>
      <c r="I14" s="680"/>
    </row>
    <row r="15" spans="1:9" ht="14.25">
      <c r="A15" s="600">
        <v>4</v>
      </c>
      <c r="B15" s="603" t="s">
        <v>876</v>
      </c>
      <c r="C15" s="678" t="s">
        <v>877</v>
      </c>
      <c r="D15" s="679"/>
      <c r="E15" s="679"/>
      <c r="F15" s="679"/>
      <c r="G15" s="679"/>
      <c r="H15" s="679"/>
      <c r="I15" s="680"/>
    </row>
    <row r="16" spans="1:9" ht="14.25">
      <c r="A16" s="600">
        <v>5</v>
      </c>
      <c r="B16" s="604" t="s">
        <v>878</v>
      </c>
      <c r="C16" s="678" t="s">
        <v>879</v>
      </c>
      <c r="D16" s="679"/>
      <c r="E16" s="679"/>
      <c r="F16" s="679"/>
      <c r="G16" s="679"/>
      <c r="H16" s="679"/>
      <c r="I16" s="680"/>
    </row>
  </sheetData>
  <mergeCells count="10">
    <mergeCell ref="C14:I14"/>
    <mergeCell ref="C15:I15"/>
    <mergeCell ref="C16:I16"/>
    <mergeCell ref="C11:I11"/>
    <mergeCell ref="A1:I1"/>
    <mergeCell ref="A2:I8"/>
    <mergeCell ref="A9:I9"/>
    <mergeCell ref="A10:I10"/>
    <mergeCell ref="C12:I12"/>
    <mergeCell ref="C13:I13"/>
  </mergeCells>
  <phoneticPr fontId="5"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B21"/>
  <sheetViews>
    <sheetView showGridLines="0" workbookViewId="0">
      <selection activeCell="F18" sqref="F18"/>
    </sheetView>
  </sheetViews>
  <sheetFormatPr defaultRowHeight="12"/>
  <cols>
    <col min="1" max="1" width="16.25" style="152" customWidth="1"/>
    <col min="2" max="2" width="56.5" style="152" customWidth="1"/>
    <col min="3" max="256" width="9" style="152"/>
    <col min="257" max="257" width="16.25" style="152" customWidth="1"/>
    <col min="258" max="258" width="56.5" style="152" customWidth="1"/>
    <col min="259" max="512" width="9" style="152"/>
    <col min="513" max="513" width="16.25" style="152" customWidth="1"/>
    <col min="514" max="514" width="56.5" style="152" customWidth="1"/>
    <col min="515" max="768" width="9" style="152"/>
    <col min="769" max="769" width="16.25" style="152" customWidth="1"/>
    <col min="770" max="770" width="56.5" style="152" customWidth="1"/>
    <col min="771" max="1024" width="9" style="152"/>
    <col min="1025" max="1025" width="16.25" style="152" customWidth="1"/>
    <col min="1026" max="1026" width="56.5" style="152" customWidth="1"/>
    <col min="1027" max="1280" width="9" style="152"/>
    <col min="1281" max="1281" width="16.25" style="152" customWidth="1"/>
    <col min="1282" max="1282" width="56.5" style="152" customWidth="1"/>
    <col min="1283" max="1536" width="9" style="152"/>
    <col min="1537" max="1537" width="16.25" style="152" customWidth="1"/>
    <col min="1538" max="1538" width="56.5" style="152" customWidth="1"/>
    <col min="1539" max="1792" width="9" style="152"/>
    <col min="1793" max="1793" width="16.25" style="152" customWidth="1"/>
    <col min="1794" max="1794" width="56.5" style="152" customWidth="1"/>
    <col min="1795" max="2048" width="9" style="152"/>
    <col min="2049" max="2049" width="16.25" style="152" customWidth="1"/>
    <col min="2050" max="2050" width="56.5" style="152" customWidth="1"/>
    <col min="2051" max="2304" width="9" style="152"/>
    <col min="2305" max="2305" width="16.25" style="152" customWidth="1"/>
    <col min="2306" max="2306" width="56.5" style="152" customWidth="1"/>
    <col min="2307" max="2560" width="9" style="152"/>
    <col min="2561" max="2561" width="16.25" style="152" customWidth="1"/>
    <col min="2562" max="2562" width="56.5" style="152" customWidth="1"/>
    <col min="2563" max="2816" width="9" style="152"/>
    <col min="2817" max="2817" width="16.25" style="152" customWidth="1"/>
    <col min="2818" max="2818" width="56.5" style="152" customWidth="1"/>
    <col min="2819" max="3072" width="9" style="152"/>
    <col min="3073" max="3073" width="16.25" style="152" customWidth="1"/>
    <col min="3074" max="3074" width="56.5" style="152" customWidth="1"/>
    <col min="3075" max="3328" width="9" style="152"/>
    <col min="3329" max="3329" width="16.25" style="152" customWidth="1"/>
    <col min="3330" max="3330" width="56.5" style="152" customWidth="1"/>
    <col min="3331" max="3584" width="9" style="152"/>
    <col min="3585" max="3585" width="16.25" style="152" customWidth="1"/>
    <col min="3586" max="3586" width="56.5" style="152" customWidth="1"/>
    <col min="3587" max="3840" width="9" style="152"/>
    <col min="3841" max="3841" width="16.25" style="152" customWidth="1"/>
    <col min="3842" max="3842" width="56.5" style="152" customWidth="1"/>
    <col min="3843" max="4096" width="9" style="152"/>
    <col min="4097" max="4097" width="16.25" style="152" customWidth="1"/>
    <col min="4098" max="4098" width="56.5" style="152" customWidth="1"/>
    <col min="4099" max="4352" width="9" style="152"/>
    <col min="4353" max="4353" width="16.25" style="152" customWidth="1"/>
    <col min="4354" max="4354" width="56.5" style="152" customWidth="1"/>
    <col min="4355" max="4608" width="9" style="152"/>
    <col min="4609" max="4609" width="16.25" style="152" customWidth="1"/>
    <col min="4610" max="4610" width="56.5" style="152" customWidth="1"/>
    <col min="4611" max="4864" width="9" style="152"/>
    <col min="4865" max="4865" width="16.25" style="152" customWidth="1"/>
    <col min="4866" max="4866" width="56.5" style="152" customWidth="1"/>
    <col min="4867" max="5120" width="9" style="152"/>
    <col min="5121" max="5121" width="16.25" style="152" customWidth="1"/>
    <col min="5122" max="5122" width="56.5" style="152" customWidth="1"/>
    <col min="5123" max="5376" width="9" style="152"/>
    <col min="5377" max="5377" width="16.25" style="152" customWidth="1"/>
    <col min="5378" max="5378" width="56.5" style="152" customWidth="1"/>
    <col min="5379" max="5632" width="9" style="152"/>
    <col min="5633" max="5633" width="16.25" style="152" customWidth="1"/>
    <col min="5634" max="5634" width="56.5" style="152" customWidth="1"/>
    <col min="5635" max="5888" width="9" style="152"/>
    <col min="5889" max="5889" width="16.25" style="152" customWidth="1"/>
    <col min="5890" max="5890" width="56.5" style="152" customWidth="1"/>
    <col min="5891" max="6144" width="9" style="152"/>
    <col min="6145" max="6145" width="16.25" style="152" customWidth="1"/>
    <col min="6146" max="6146" width="56.5" style="152" customWidth="1"/>
    <col min="6147" max="6400" width="9" style="152"/>
    <col min="6401" max="6401" width="16.25" style="152" customWidth="1"/>
    <col min="6402" max="6402" width="56.5" style="152" customWidth="1"/>
    <col min="6403" max="6656" width="9" style="152"/>
    <col min="6657" max="6657" width="16.25" style="152" customWidth="1"/>
    <col min="6658" max="6658" width="56.5" style="152" customWidth="1"/>
    <col min="6659" max="6912" width="9" style="152"/>
    <col min="6913" max="6913" width="16.25" style="152" customWidth="1"/>
    <col min="6914" max="6914" width="56.5" style="152" customWidth="1"/>
    <col min="6915" max="7168" width="9" style="152"/>
    <col min="7169" max="7169" width="16.25" style="152" customWidth="1"/>
    <col min="7170" max="7170" width="56.5" style="152" customWidth="1"/>
    <col min="7171" max="7424" width="9" style="152"/>
    <col min="7425" max="7425" width="16.25" style="152" customWidth="1"/>
    <col min="7426" max="7426" width="56.5" style="152" customWidth="1"/>
    <col min="7427" max="7680" width="9" style="152"/>
    <col min="7681" max="7681" width="16.25" style="152" customWidth="1"/>
    <col min="7682" max="7682" width="56.5" style="152" customWidth="1"/>
    <col min="7683" max="7936" width="9" style="152"/>
    <col min="7937" max="7937" width="16.25" style="152" customWidth="1"/>
    <col min="7938" max="7938" width="56.5" style="152" customWidth="1"/>
    <col min="7939" max="8192" width="9" style="152"/>
    <col min="8193" max="8193" width="16.25" style="152" customWidth="1"/>
    <col min="8194" max="8194" width="56.5" style="152" customWidth="1"/>
    <col min="8195" max="8448" width="9" style="152"/>
    <col min="8449" max="8449" width="16.25" style="152" customWidth="1"/>
    <col min="8450" max="8450" width="56.5" style="152" customWidth="1"/>
    <col min="8451" max="8704" width="9" style="152"/>
    <col min="8705" max="8705" width="16.25" style="152" customWidth="1"/>
    <col min="8706" max="8706" width="56.5" style="152" customWidth="1"/>
    <col min="8707" max="8960" width="9" style="152"/>
    <col min="8961" max="8961" width="16.25" style="152" customWidth="1"/>
    <col min="8962" max="8962" width="56.5" style="152" customWidth="1"/>
    <col min="8963" max="9216" width="9" style="152"/>
    <col min="9217" max="9217" width="16.25" style="152" customWidth="1"/>
    <col min="9218" max="9218" width="56.5" style="152" customWidth="1"/>
    <col min="9219" max="9472" width="9" style="152"/>
    <col min="9473" max="9473" width="16.25" style="152" customWidth="1"/>
    <col min="9474" max="9474" width="56.5" style="152" customWidth="1"/>
    <col min="9475" max="9728" width="9" style="152"/>
    <col min="9729" max="9729" width="16.25" style="152" customWidth="1"/>
    <col min="9730" max="9730" width="56.5" style="152" customWidth="1"/>
    <col min="9731" max="9984" width="9" style="152"/>
    <col min="9985" max="9985" width="16.25" style="152" customWidth="1"/>
    <col min="9986" max="9986" width="56.5" style="152" customWidth="1"/>
    <col min="9987" max="10240" width="9" style="152"/>
    <col min="10241" max="10241" width="16.25" style="152" customWidth="1"/>
    <col min="10242" max="10242" width="56.5" style="152" customWidth="1"/>
    <col min="10243" max="10496" width="9" style="152"/>
    <col min="10497" max="10497" width="16.25" style="152" customWidth="1"/>
    <col min="10498" max="10498" width="56.5" style="152" customWidth="1"/>
    <col min="10499" max="10752" width="9" style="152"/>
    <col min="10753" max="10753" width="16.25" style="152" customWidth="1"/>
    <col min="10754" max="10754" width="56.5" style="152" customWidth="1"/>
    <col min="10755" max="11008" width="9" style="152"/>
    <col min="11009" max="11009" width="16.25" style="152" customWidth="1"/>
    <col min="11010" max="11010" width="56.5" style="152" customWidth="1"/>
    <col min="11011" max="11264" width="9" style="152"/>
    <col min="11265" max="11265" width="16.25" style="152" customWidth="1"/>
    <col min="11266" max="11266" width="56.5" style="152" customWidth="1"/>
    <col min="11267" max="11520" width="9" style="152"/>
    <col min="11521" max="11521" width="16.25" style="152" customWidth="1"/>
    <col min="11522" max="11522" width="56.5" style="152" customWidth="1"/>
    <col min="11523" max="11776" width="9" style="152"/>
    <col min="11777" max="11777" width="16.25" style="152" customWidth="1"/>
    <col min="11778" max="11778" width="56.5" style="152" customWidth="1"/>
    <col min="11779" max="12032" width="9" style="152"/>
    <col min="12033" max="12033" width="16.25" style="152" customWidth="1"/>
    <col min="12034" max="12034" width="56.5" style="152" customWidth="1"/>
    <col min="12035" max="12288" width="9" style="152"/>
    <col min="12289" max="12289" width="16.25" style="152" customWidth="1"/>
    <col min="12290" max="12290" width="56.5" style="152" customWidth="1"/>
    <col min="12291" max="12544" width="9" style="152"/>
    <col min="12545" max="12545" width="16.25" style="152" customWidth="1"/>
    <col min="12546" max="12546" width="56.5" style="152" customWidth="1"/>
    <col min="12547" max="12800" width="9" style="152"/>
    <col min="12801" max="12801" width="16.25" style="152" customWidth="1"/>
    <col min="12802" max="12802" width="56.5" style="152" customWidth="1"/>
    <col min="12803" max="13056" width="9" style="152"/>
    <col min="13057" max="13057" width="16.25" style="152" customWidth="1"/>
    <col min="13058" max="13058" width="56.5" style="152" customWidth="1"/>
    <col min="13059" max="13312" width="9" style="152"/>
    <col min="13313" max="13313" width="16.25" style="152" customWidth="1"/>
    <col min="13314" max="13314" width="56.5" style="152" customWidth="1"/>
    <col min="13315" max="13568" width="9" style="152"/>
    <col min="13569" max="13569" width="16.25" style="152" customWidth="1"/>
    <col min="13570" max="13570" width="56.5" style="152" customWidth="1"/>
    <col min="13571" max="13824" width="9" style="152"/>
    <col min="13825" max="13825" width="16.25" style="152" customWidth="1"/>
    <col min="13826" max="13826" width="56.5" style="152" customWidth="1"/>
    <col min="13827" max="14080" width="9" style="152"/>
    <col min="14081" max="14081" width="16.25" style="152" customWidth="1"/>
    <col min="14082" max="14082" width="56.5" style="152" customWidth="1"/>
    <col min="14083" max="14336" width="9" style="152"/>
    <col min="14337" max="14337" width="16.25" style="152" customWidth="1"/>
    <col min="14338" max="14338" width="56.5" style="152" customWidth="1"/>
    <col min="14339" max="14592" width="9" style="152"/>
    <col min="14593" max="14593" width="16.25" style="152" customWidth="1"/>
    <col min="14594" max="14594" width="56.5" style="152" customWidth="1"/>
    <col min="14595" max="14848" width="9" style="152"/>
    <col min="14849" max="14849" width="16.25" style="152" customWidth="1"/>
    <col min="14850" max="14850" width="56.5" style="152" customWidth="1"/>
    <col min="14851" max="15104" width="9" style="152"/>
    <col min="15105" max="15105" width="16.25" style="152" customWidth="1"/>
    <col min="15106" max="15106" width="56.5" style="152" customWidth="1"/>
    <col min="15107" max="15360" width="9" style="152"/>
    <col min="15361" max="15361" width="16.25" style="152" customWidth="1"/>
    <col min="15362" max="15362" width="56.5" style="152" customWidth="1"/>
    <col min="15363" max="15616" width="9" style="152"/>
    <col min="15617" max="15617" width="16.25" style="152" customWidth="1"/>
    <col min="15618" max="15618" width="56.5" style="152" customWidth="1"/>
    <col min="15619" max="15872" width="9" style="152"/>
    <col min="15873" max="15873" width="16.25" style="152" customWidth="1"/>
    <col min="15874" max="15874" width="56.5" style="152" customWidth="1"/>
    <col min="15875" max="16128" width="9" style="152"/>
    <col min="16129" max="16129" width="16.25" style="152" customWidth="1"/>
    <col min="16130" max="16130" width="56.5" style="152" customWidth="1"/>
    <col min="16131" max="16384" width="9" style="152"/>
  </cols>
  <sheetData>
    <row r="1" spans="1:2" ht="24.75" customHeight="1">
      <c r="A1" s="688" t="s">
        <v>684</v>
      </c>
      <c r="B1" s="688"/>
    </row>
    <row r="2" spans="1:2" ht="18" customHeight="1">
      <c r="A2" s="473" t="s">
        <v>691</v>
      </c>
      <c r="B2" s="476" t="s">
        <v>961</v>
      </c>
    </row>
    <row r="3" spans="1:2" ht="18" customHeight="1">
      <c r="A3" s="474" t="s">
        <v>692</v>
      </c>
      <c r="B3" s="476" t="s">
        <v>973</v>
      </c>
    </row>
    <row r="4" spans="1:2" ht="18" customHeight="1">
      <c r="A4" s="474" t="s">
        <v>693</v>
      </c>
      <c r="B4" s="476" t="s">
        <v>972</v>
      </c>
    </row>
    <row r="5" spans="1:2" ht="18" customHeight="1">
      <c r="A5" s="473" t="s">
        <v>694</v>
      </c>
      <c r="B5" s="476" t="s">
        <v>962</v>
      </c>
    </row>
    <row r="6" spans="1:2" ht="18" customHeight="1">
      <c r="A6" s="473" t="s">
        <v>695</v>
      </c>
      <c r="B6" s="476" t="s">
        <v>963</v>
      </c>
    </row>
    <row r="7" spans="1:2" ht="18" customHeight="1">
      <c r="A7" s="473" t="s">
        <v>696</v>
      </c>
      <c r="B7" s="476" t="s">
        <v>964</v>
      </c>
    </row>
    <row r="8" spans="1:2" ht="18" customHeight="1">
      <c r="A8" s="473" t="s">
        <v>697</v>
      </c>
      <c r="B8" s="476" t="s">
        <v>965</v>
      </c>
    </row>
    <row r="9" spans="1:2" ht="18" customHeight="1">
      <c r="A9" s="473" t="s">
        <v>698</v>
      </c>
      <c r="B9" s="476" t="s">
        <v>966</v>
      </c>
    </row>
    <row r="10" spans="1:2" ht="18" customHeight="1">
      <c r="A10" s="473" t="s">
        <v>699</v>
      </c>
      <c r="B10" s="476" t="s">
        <v>967</v>
      </c>
    </row>
    <row r="11" spans="1:2" ht="18" customHeight="1">
      <c r="A11" s="473" t="s">
        <v>700</v>
      </c>
      <c r="B11" s="476" t="s">
        <v>968</v>
      </c>
    </row>
    <row r="12" spans="1:2" ht="18" customHeight="1">
      <c r="A12" s="473" t="s">
        <v>701</v>
      </c>
      <c r="B12" s="476" t="s">
        <v>969</v>
      </c>
    </row>
    <row r="13" spans="1:2" ht="18" customHeight="1">
      <c r="A13" s="473" t="s">
        <v>702</v>
      </c>
      <c r="B13" s="476" t="s">
        <v>970</v>
      </c>
    </row>
    <row r="14" spans="1:2" ht="18" customHeight="1">
      <c r="A14" s="473" t="s">
        <v>703</v>
      </c>
      <c r="B14" s="476" t="s">
        <v>974</v>
      </c>
    </row>
    <row r="15" spans="1:2" ht="18" customHeight="1">
      <c r="A15" s="473" t="s">
        <v>704</v>
      </c>
      <c r="B15" s="476" t="s">
        <v>971</v>
      </c>
    </row>
    <row r="16" spans="1:2" ht="18" customHeight="1">
      <c r="A16" s="473" t="s">
        <v>705</v>
      </c>
      <c r="B16" s="476" t="s">
        <v>970</v>
      </c>
    </row>
    <row r="17" spans="1:2" ht="18" customHeight="1">
      <c r="A17" s="473" t="s">
        <v>706</v>
      </c>
      <c r="B17" s="477">
        <v>42641</v>
      </c>
    </row>
    <row r="18" spans="1:2" ht="18" customHeight="1">
      <c r="A18" s="473" t="s">
        <v>707</v>
      </c>
      <c r="B18" s="477">
        <v>42643</v>
      </c>
    </row>
    <row r="21" spans="1:2">
      <c r="A21" s="475" t="s">
        <v>708</v>
      </c>
    </row>
  </sheetData>
  <mergeCells count="1">
    <mergeCell ref="A1:B1"/>
  </mergeCells>
  <phoneticPr fontId="5" type="noConversion"/>
  <dataValidations count="3">
    <dataValidation type="list" allowBlank="1" showInputMessage="1" showErrorMessage="1" sqref="WVJ98304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B3">
      <formula1>"瀑布开发模型,迭代开发模型"</formula1>
    </dataValidation>
    <dataValidation type="list" allowBlank="1" showInputMessage="1" showErrorMessage="1" sqref="WVJ98304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B6">
      <formula1>"大型,普通,微型"</formula1>
    </dataValidation>
    <dataValidation type="list" allowBlank="1" showInputMessage="1" showErrorMessage="1" sqref="WVJ98304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B9">
      <formula1>"OA,网站,管理系统,其他,"</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M102"/>
  <sheetViews>
    <sheetView zoomScaleNormal="100" workbookViewId="0"/>
  </sheetViews>
  <sheetFormatPr defaultColWidth="9" defaultRowHeight="14.25" outlineLevelRow="1"/>
  <cols>
    <col min="1" max="1" width="1.25" style="91" customWidth="1"/>
    <col min="2" max="2" width="5.875" style="91" customWidth="1"/>
    <col min="3" max="3" width="28.5" style="91" customWidth="1"/>
    <col min="4" max="4" width="15.25" style="91" customWidth="1"/>
    <col min="5" max="5" width="11.5" style="131" customWidth="1"/>
    <col min="6" max="6" width="12" style="131" customWidth="1"/>
    <col min="7" max="7" width="12.125" style="132" customWidth="1"/>
    <col min="8" max="8" width="19.375" style="137" customWidth="1"/>
    <col min="9" max="9" width="11.375" style="91" bestFit="1" customWidth="1"/>
    <col min="10" max="10" width="13.125" style="91" customWidth="1"/>
    <col min="11" max="11" width="29.5" style="91" customWidth="1"/>
    <col min="12" max="12" width="13" style="91" customWidth="1"/>
    <col min="13" max="256" width="9" style="91"/>
    <col min="257" max="257" width="1.25" style="91" customWidth="1"/>
    <col min="258" max="258" width="5.875" style="91" customWidth="1"/>
    <col min="259" max="259" width="28.5" style="91" customWidth="1"/>
    <col min="260" max="260" width="15.25" style="91" customWidth="1"/>
    <col min="261" max="261" width="11.5" style="91" customWidth="1"/>
    <col min="262" max="262" width="12" style="91" customWidth="1"/>
    <col min="263" max="263" width="12.125" style="91" customWidth="1"/>
    <col min="264" max="264" width="19.375" style="91" customWidth="1"/>
    <col min="265" max="265" width="11.375" style="91" bestFit="1" customWidth="1"/>
    <col min="266" max="266" width="13.125" style="91" customWidth="1"/>
    <col min="267" max="267" width="29.5" style="91" customWidth="1"/>
    <col min="268" max="268" width="13" style="91" customWidth="1"/>
    <col min="269" max="512" width="9" style="91"/>
    <col min="513" max="513" width="1.25" style="91" customWidth="1"/>
    <col min="514" max="514" width="5.875" style="91" customWidth="1"/>
    <col min="515" max="515" width="28.5" style="91" customWidth="1"/>
    <col min="516" max="516" width="15.25" style="91" customWidth="1"/>
    <col min="517" max="517" width="11.5" style="91" customWidth="1"/>
    <col min="518" max="518" width="12" style="91" customWidth="1"/>
    <col min="519" max="519" width="12.125" style="91" customWidth="1"/>
    <col min="520" max="520" width="19.375" style="91" customWidth="1"/>
    <col min="521" max="521" width="11.375" style="91" bestFit="1" customWidth="1"/>
    <col min="522" max="522" width="13.125" style="91" customWidth="1"/>
    <col min="523" max="523" width="29.5" style="91" customWidth="1"/>
    <col min="524" max="524" width="13" style="91" customWidth="1"/>
    <col min="525" max="768" width="9" style="91"/>
    <col min="769" max="769" width="1.25" style="91" customWidth="1"/>
    <col min="770" max="770" width="5.875" style="91" customWidth="1"/>
    <col min="771" max="771" width="28.5" style="91" customWidth="1"/>
    <col min="772" max="772" width="15.25" style="91" customWidth="1"/>
    <col min="773" max="773" width="11.5" style="91" customWidth="1"/>
    <col min="774" max="774" width="12" style="91" customWidth="1"/>
    <col min="775" max="775" width="12.125" style="91" customWidth="1"/>
    <col min="776" max="776" width="19.375" style="91" customWidth="1"/>
    <col min="777" max="777" width="11.375" style="91" bestFit="1" customWidth="1"/>
    <col min="778" max="778" width="13.125" style="91" customWidth="1"/>
    <col min="779" max="779" width="29.5" style="91" customWidth="1"/>
    <col min="780" max="780" width="13" style="91" customWidth="1"/>
    <col min="781" max="1024" width="9" style="91"/>
    <col min="1025" max="1025" width="1.25" style="91" customWidth="1"/>
    <col min="1026" max="1026" width="5.875" style="91" customWidth="1"/>
    <col min="1027" max="1027" width="28.5" style="91" customWidth="1"/>
    <col min="1028" max="1028" width="15.25" style="91" customWidth="1"/>
    <col min="1029" max="1029" width="11.5" style="91" customWidth="1"/>
    <col min="1030" max="1030" width="12" style="91" customWidth="1"/>
    <col min="1031" max="1031" width="12.125" style="91" customWidth="1"/>
    <col min="1032" max="1032" width="19.375" style="91" customWidth="1"/>
    <col min="1033" max="1033" width="11.375" style="91" bestFit="1" customWidth="1"/>
    <col min="1034" max="1034" width="13.125" style="91" customWidth="1"/>
    <col min="1035" max="1035" width="29.5" style="91" customWidth="1"/>
    <col min="1036" max="1036" width="13" style="91" customWidth="1"/>
    <col min="1037" max="1280" width="9" style="91"/>
    <col min="1281" max="1281" width="1.25" style="91" customWidth="1"/>
    <col min="1282" max="1282" width="5.875" style="91" customWidth="1"/>
    <col min="1283" max="1283" width="28.5" style="91" customWidth="1"/>
    <col min="1284" max="1284" width="15.25" style="91" customWidth="1"/>
    <col min="1285" max="1285" width="11.5" style="91" customWidth="1"/>
    <col min="1286" max="1286" width="12" style="91" customWidth="1"/>
    <col min="1287" max="1287" width="12.125" style="91" customWidth="1"/>
    <col min="1288" max="1288" width="19.375" style="91" customWidth="1"/>
    <col min="1289" max="1289" width="11.375" style="91" bestFit="1" customWidth="1"/>
    <col min="1290" max="1290" width="13.125" style="91" customWidth="1"/>
    <col min="1291" max="1291" width="29.5" style="91" customWidth="1"/>
    <col min="1292" max="1292" width="13" style="91" customWidth="1"/>
    <col min="1293" max="1536" width="9" style="91"/>
    <col min="1537" max="1537" width="1.25" style="91" customWidth="1"/>
    <col min="1538" max="1538" width="5.875" style="91" customWidth="1"/>
    <col min="1539" max="1539" width="28.5" style="91" customWidth="1"/>
    <col min="1540" max="1540" width="15.25" style="91" customWidth="1"/>
    <col min="1541" max="1541" width="11.5" style="91" customWidth="1"/>
    <col min="1542" max="1542" width="12" style="91" customWidth="1"/>
    <col min="1543" max="1543" width="12.125" style="91" customWidth="1"/>
    <col min="1544" max="1544" width="19.375" style="91" customWidth="1"/>
    <col min="1545" max="1545" width="11.375" style="91" bestFit="1" customWidth="1"/>
    <col min="1546" max="1546" width="13.125" style="91" customWidth="1"/>
    <col min="1547" max="1547" width="29.5" style="91" customWidth="1"/>
    <col min="1548" max="1548" width="13" style="91" customWidth="1"/>
    <col min="1549" max="1792" width="9" style="91"/>
    <col min="1793" max="1793" width="1.25" style="91" customWidth="1"/>
    <col min="1794" max="1794" width="5.875" style="91" customWidth="1"/>
    <col min="1795" max="1795" width="28.5" style="91" customWidth="1"/>
    <col min="1796" max="1796" width="15.25" style="91" customWidth="1"/>
    <col min="1797" max="1797" width="11.5" style="91" customWidth="1"/>
    <col min="1798" max="1798" width="12" style="91" customWidth="1"/>
    <col min="1799" max="1799" width="12.125" style="91" customWidth="1"/>
    <col min="1800" max="1800" width="19.375" style="91" customWidth="1"/>
    <col min="1801" max="1801" width="11.375" style="91" bestFit="1" customWidth="1"/>
    <col min="1802" max="1802" width="13.125" style="91" customWidth="1"/>
    <col min="1803" max="1803" width="29.5" style="91" customWidth="1"/>
    <col min="1804" max="1804" width="13" style="91" customWidth="1"/>
    <col min="1805" max="2048" width="9" style="91"/>
    <col min="2049" max="2049" width="1.25" style="91" customWidth="1"/>
    <col min="2050" max="2050" width="5.875" style="91" customWidth="1"/>
    <col min="2051" max="2051" width="28.5" style="91" customWidth="1"/>
    <col min="2052" max="2052" width="15.25" style="91" customWidth="1"/>
    <col min="2053" max="2053" width="11.5" style="91" customWidth="1"/>
    <col min="2054" max="2054" width="12" style="91" customWidth="1"/>
    <col min="2055" max="2055" width="12.125" style="91" customWidth="1"/>
    <col min="2056" max="2056" width="19.375" style="91" customWidth="1"/>
    <col min="2057" max="2057" width="11.375" style="91" bestFit="1" customWidth="1"/>
    <col min="2058" max="2058" width="13.125" style="91" customWidth="1"/>
    <col min="2059" max="2059" width="29.5" style="91" customWidth="1"/>
    <col min="2060" max="2060" width="13" style="91" customWidth="1"/>
    <col min="2061" max="2304" width="9" style="91"/>
    <col min="2305" max="2305" width="1.25" style="91" customWidth="1"/>
    <col min="2306" max="2306" width="5.875" style="91" customWidth="1"/>
    <col min="2307" max="2307" width="28.5" style="91" customWidth="1"/>
    <col min="2308" max="2308" width="15.25" style="91" customWidth="1"/>
    <col min="2309" max="2309" width="11.5" style="91" customWidth="1"/>
    <col min="2310" max="2310" width="12" style="91" customWidth="1"/>
    <col min="2311" max="2311" width="12.125" style="91" customWidth="1"/>
    <col min="2312" max="2312" width="19.375" style="91" customWidth="1"/>
    <col min="2313" max="2313" width="11.375" style="91" bestFit="1" customWidth="1"/>
    <col min="2314" max="2314" width="13.125" style="91" customWidth="1"/>
    <col min="2315" max="2315" width="29.5" style="91" customWidth="1"/>
    <col min="2316" max="2316" width="13" style="91" customWidth="1"/>
    <col min="2317" max="2560" width="9" style="91"/>
    <col min="2561" max="2561" width="1.25" style="91" customWidth="1"/>
    <col min="2562" max="2562" width="5.875" style="91" customWidth="1"/>
    <col min="2563" max="2563" width="28.5" style="91" customWidth="1"/>
    <col min="2564" max="2564" width="15.25" style="91" customWidth="1"/>
    <col min="2565" max="2565" width="11.5" style="91" customWidth="1"/>
    <col min="2566" max="2566" width="12" style="91" customWidth="1"/>
    <col min="2567" max="2567" width="12.125" style="91" customWidth="1"/>
    <col min="2568" max="2568" width="19.375" style="91" customWidth="1"/>
    <col min="2569" max="2569" width="11.375" style="91" bestFit="1" customWidth="1"/>
    <col min="2570" max="2570" width="13.125" style="91" customWidth="1"/>
    <col min="2571" max="2571" width="29.5" style="91" customWidth="1"/>
    <col min="2572" max="2572" width="13" style="91" customWidth="1"/>
    <col min="2573" max="2816" width="9" style="91"/>
    <col min="2817" max="2817" width="1.25" style="91" customWidth="1"/>
    <col min="2818" max="2818" width="5.875" style="91" customWidth="1"/>
    <col min="2819" max="2819" width="28.5" style="91" customWidth="1"/>
    <col min="2820" max="2820" width="15.25" style="91" customWidth="1"/>
    <col min="2821" max="2821" width="11.5" style="91" customWidth="1"/>
    <col min="2822" max="2822" width="12" style="91" customWidth="1"/>
    <col min="2823" max="2823" width="12.125" style="91" customWidth="1"/>
    <col min="2824" max="2824" width="19.375" style="91" customWidth="1"/>
    <col min="2825" max="2825" width="11.375" style="91" bestFit="1" customWidth="1"/>
    <col min="2826" max="2826" width="13.125" style="91" customWidth="1"/>
    <col min="2827" max="2827" width="29.5" style="91" customWidth="1"/>
    <col min="2828" max="2828" width="13" style="91" customWidth="1"/>
    <col min="2829" max="3072" width="9" style="91"/>
    <col min="3073" max="3073" width="1.25" style="91" customWidth="1"/>
    <col min="3074" max="3074" width="5.875" style="91" customWidth="1"/>
    <col min="3075" max="3075" width="28.5" style="91" customWidth="1"/>
    <col min="3076" max="3076" width="15.25" style="91" customWidth="1"/>
    <col min="3077" max="3077" width="11.5" style="91" customWidth="1"/>
    <col min="3078" max="3078" width="12" style="91" customWidth="1"/>
    <col min="3079" max="3079" width="12.125" style="91" customWidth="1"/>
    <col min="3080" max="3080" width="19.375" style="91" customWidth="1"/>
    <col min="3081" max="3081" width="11.375" style="91" bestFit="1" customWidth="1"/>
    <col min="3082" max="3082" width="13.125" style="91" customWidth="1"/>
    <col min="3083" max="3083" width="29.5" style="91" customWidth="1"/>
    <col min="3084" max="3084" width="13" style="91" customWidth="1"/>
    <col min="3085" max="3328" width="9" style="91"/>
    <col min="3329" max="3329" width="1.25" style="91" customWidth="1"/>
    <col min="3330" max="3330" width="5.875" style="91" customWidth="1"/>
    <col min="3331" max="3331" width="28.5" style="91" customWidth="1"/>
    <col min="3332" max="3332" width="15.25" style="91" customWidth="1"/>
    <col min="3333" max="3333" width="11.5" style="91" customWidth="1"/>
    <col min="3334" max="3334" width="12" style="91" customWidth="1"/>
    <col min="3335" max="3335" width="12.125" style="91" customWidth="1"/>
    <col min="3336" max="3336" width="19.375" style="91" customWidth="1"/>
    <col min="3337" max="3337" width="11.375" style="91" bestFit="1" customWidth="1"/>
    <col min="3338" max="3338" width="13.125" style="91" customWidth="1"/>
    <col min="3339" max="3339" width="29.5" style="91" customWidth="1"/>
    <col min="3340" max="3340" width="13" style="91" customWidth="1"/>
    <col min="3341" max="3584" width="9" style="91"/>
    <col min="3585" max="3585" width="1.25" style="91" customWidth="1"/>
    <col min="3586" max="3586" width="5.875" style="91" customWidth="1"/>
    <col min="3587" max="3587" width="28.5" style="91" customWidth="1"/>
    <col min="3588" max="3588" width="15.25" style="91" customWidth="1"/>
    <col min="3589" max="3589" width="11.5" style="91" customWidth="1"/>
    <col min="3590" max="3590" width="12" style="91" customWidth="1"/>
    <col min="3591" max="3591" width="12.125" style="91" customWidth="1"/>
    <col min="3592" max="3592" width="19.375" style="91" customWidth="1"/>
    <col min="3593" max="3593" width="11.375" style="91" bestFit="1" customWidth="1"/>
    <col min="3594" max="3594" width="13.125" style="91" customWidth="1"/>
    <col min="3595" max="3595" width="29.5" style="91" customWidth="1"/>
    <col min="3596" max="3596" width="13" style="91" customWidth="1"/>
    <col min="3597" max="3840" width="9" style="91"/>
    <col min="3841" max="3841" width="1.25" style="91" customWidth="1"/>
    <col min="3842" max="3842" width="5.875" style="91" customWidth="1"/>
    <col min="3843" max="3843" width="28.5" style="91" customWidth="1"/>
    <col min="3844" max="3844" width="15.25" style="91" customWidth="1"/>
    <col min="3845" max="3845" width="11.5" style="91" customWidth="1"/>
    <col min="3846" max="3846" width="12" style="91" customWidth="1"/>
    <col min="3847" max="3847" width="12.125" style="91" customWidth="1"/>
    <col min="3848" max="3848" width="19.375" style="91" customWidth="1"/>
    <col min="3849" max="3849" width="11.375" style="91" bestFit="1" customWidth="1"/>
    <col min="3850" max="3850" width="13.125" style="91" customWidth="1"/>
    <col min="3851" max="3851" width="29.5" style="91" customWidth="1"/>
    <col min="3852" max="3852" width="13" style="91" customWidth="1"/>
    <col min="3853" max="4096" width="9" style="91"/>
    <col min="4097" max="4097" width="1.25" style="91" customWidth="1"/>
    <col min="4098" max="4098" width="5.875" style="91" customWidth="1"/>
    <col min="4099" max="4099" width="28.5" style="91" customWidth="1"/>
    <col min="4100" max="4100" width="15.25" style="91" customWidth="1"/>
    <col min="4101" max="4101" width="11.5" style="91" customWidth="1"/>
    <col min="4102" max="4102" width="12" style="91" customWidth="1"/>
    <col min="4103" max="4103" width="12.125" style="91" customWidth="1"/>
    <col min="4104" max="4104" width="19.375" style="91" customWidth="1"/>
    <col min="4105" max="4105" width="11.375" style="91" bestFit="1" customWidth="1"/>
    <col min="4106" max="4106" width="13.125" style="91" customWidth="1"/>
    <col min="4107" max="4107" width="29.5" style="91" customWidth="1"/>
    <col min="4108" max="4108" width="13" style="91" customWidth="1"/>
    <col min="4109" max="4352" width="9" style="91"/>
    <col min="4353" max="4353" width="1.25" style="91" customWidth="1"/>
    <col min="4354" max="4354" width="5.875" style="91" customWidth="1"/>
    <col min="4355" max="4355" width="28.5" style="91" customWidth="1"/>
    <col min="4356" max="4356" width="15.25" style="91" customWidth="1"/>
    <col min="4357" max="4357" width="11.5" style="91" customWidth="1"/>
    <col min="4358" max="4358" width="12" style="91" customWidth="1"/>
    <col min="4359" max="4359" width="12.125" style="91" customWidth="1"/>
    <col min="4360" max="4360" width="19.375" style="91" customWidth="1"/>
    <col min="4361" max="4361" width="11.375" style="91" bestFit="1" customWidth="1"/>
    <col min="4362" max="4362" width="13.125" style="91" customWidth="1"/>
    <col min="4363" max="4363" width="29.5" style="91" customWidth="1"/>
    <col min="4364" max="4364" width="13" style="91" customWidth="1"/>
    <col min="4365" max="4608" width="9" style="91"/>
    <col min="4609" max="4609" width="1.25" style="91" customWidth="1"/>
    <col min="4610" max="4610" width="5.875" style="91" customWidth="1"/>
    <col min="4611" max="4611" width="28.5" style="91" customWidth="1"/>
    <col min="4612" max="4612" width="15.25" style="91" customWidth="1"/>
    <col min="4613" max="4613" width="11.5" style="91" customWidth="1"/>
    <col min="4614" max="4614" width="12" style="91" customWidth="1"/>
    <col min="4615" max="4615" width="12.125" style="91" customWidth="1"/>
    <col min="4616" max="4616" width="19.375" style="91" customWidth="1"/>
    <col min="4617" max="4617" width="11.375" style="91" bestFit="1" customWidth="1"/>
    <col min="4618" max="4618" width="13.125" style="91" customWidth="1"/>
    <col min="4619" max="4619" width="29.5" style="91" customWidth="1"/>
    <col min="4620" max="4620" width="13" style="91" customWidth="1"/>
    <col min="4621" max="4864" width="9" style="91"/>
    <col min="4865" max="4865" width="1.25" style="91" customWidth="1"/>
    <col min="4866" max="4866" width="5.875" style="91" customWidth="1"/>
    <col min="4867" max="4867" width="28.5" style="91" customWidth="1"/>
    <col min="4868" max="4868" width="15.25" style="91" customWidth="1"/>
    <col min="4869" max="4869" width="11.5" style="91" customWidth="1"/>
    <col min="4870" max="4870" width="12" style="91" customWidth="1"/>
    <col min="4871" max="4871" width="12.125" style="91" customWidth="1"/>
    <col min="4872" max="4872" width="19.375" style="91" customWidth="1"/>
    <col min="4873" max="4873" width="11.375" style="91" bestFit="1" customWidth="1"/>
    <col min="4874" max="4874" width="13.125" style="91" customWidth="1"/>
    <col min="4875" max="4875" width="29.5" style="91" customWidth="1"/>
    <col min="4876" max="4876" width="13" style="91" customWidth="1"/>
    <col min="4877" max="5120" width="9" style="91"/>
    <col min="5121" max="5121" width="1.25" style="91" customWidth="1"/>
    <col min="5122" max="5122" width="5.875" style="91" customWidth="1"/>
    <col min="5123" max="5123" width="28.5" style="91" customWidth="1"/>
    <col min="5124" max="5124" width="15.25" style="91" customWidth="1"/>
    <col min="5125" max="5125" width="11.5" style="91" customWidth="1"/>
    <col min="5126" max="5126" width="12" style="91" customWidth="1"/>
    <col min="5127" max="5127" width="12.125" style="91" customWidth="1"/>
    <col min="5128" max="5128" width="19.375" style="91" customWidth="1"/>
    <col min="5129" max="5129" width="11.375" style="91" bestFit="1" customWidth="1"/>
    <col min="5130" max="5130" width="13.125" style="91" customWidth="1"/>
    <col min="5131" max="5131" width="29.5" style="91" customWidth="1"/>
    <col min="5132" max="5132" width="13" style="91" customWidth="1"/>
    <col min="5133" max="5376" width="9" style="91"/>
    <col min="5377" max="5377" width="1.25" style="91" customWidth="1"/>
    <col min="5378" max="5378" width="5.875" style="91" customWidth="1"/>
    <col min="5379" max="5379" width="28.5" style="91" customWidth="1"/>
    <col min="5380" max="5380" width="15.25" style="91" customWidth="1"/>
    <col min="5381" max="5381" width="11.5" style="91" customWidth="1"/>
    <col min="5382" max="5382" width="12" style="91" customWidth="1"/>
    <col min="5383" max="5383" width="12.125" style="91" customWidth="1"/>
    <col min="5384" max="5384" width="19.375" style="91" customWidth="1"/>
    <col min="5385" max="5385" width="11.375" style="91" bestFit="1" customWidth="1"/>
    <col min="5386" max="5386" width="13.125" style="91" customWidth="1"/>
    <col min="5387" max="5387" width="29.5" style="91" customWidth="1"/>
    <col min="5388" max="5388" width="13" style="91" customWidth="1"/>
    <col min="5389" max="5632" width="9" style="91"/>
    <col min="5633" max="5633" width="1.25" style="91" customWidth="1"/>
    <col min="5634" max="5634" width="5.875" style="91" customWidth="1"/>
    <col min="5635" max="5635" width="28.5" style="91" customWidth="1"/>
    <col min="5636" max="5636" width="15.25" style="91" customWidth="1"/>
    <col min="5637" max="5637" width="11.5" style="91" customWidth="1"/>
    <col min="5638" max="5638" width="12" style="91" customWidth="1"/>
    <col min="5639" max="5639" width="12.125" style="91" customWidth="1"/>
    <col min="5640" max="5640" width="19.375" style="91" customWidth="1"/>
    <col min="5641" max="5641" width="11.375" style="91" bestFit="1" customWidth="1"/>
    <col min="5642" max="5642" width="13.125" style="91" customWidth="1"/>
    <col min="5643" max="5643" width="29.5" style="91" customWidth="1"/>
    <col min="5644" max="5644" width="13" style="91" customWidth="1"/>
    <col min="5645" max="5888" width="9" style="91"/>
    <col min="5889" max="5889" width="1.25" style="91" customWidth="1"/>
    <col min="5890" max="5890" width="5.875" style="91" customWidth="1"/>
    <col min="5891" max="5891" width="28.5" style="91" customWidth="1"/>
    <col min="5892" max="5892" width="15.25" style="91" customWidth="1"/>
    <col min="5893" max="5893" width="11.5" style="91" customWidth="1"/>
    <col min="5894" max="5894" width="12" style="91" customWidth="1"/>
    <col min="5895" max="5895" width="12.125" style="91" customWidth="1"/>
    <col min="5896" max="5896" width="19.375" style="91" customWidth="1"/>
    <col min="5897" max="5897" width="11.375" style="91" bestFit="1" customWidth="1"/>
    <col min="5898" max="5898" width="13.125" style="91" customWidth="1"/>
    <col min="5899" max="5899" width="29.5" style="91" customWidth="1"/>
    <col min="5900" max="5900" width="13" style="91" customWidth="1"/>
    <col min="5901" max="6144" width="9" style="91"/>
    <col min="6145" max="6145" width="1.25" style="91" customWidth="1"/>
    <col min="6146" max="6146" width="5.875" style="91" customWidth="1"/>
    <col min="6147" max="6147" width="28.5" style="91" customWidth="1"/>
    <col min="6148" max="6148" width="15.25" style="91" customWidth="1"/>
    <col min="6149" max="6149" width="11.5" style="91" customWidth="1"/>
    <col min="6150" max="6150" width="12" style="91" customWidth="1"/>
    <col min="6151" max="6151" width="12.125" style="91" customWidth="1"/>
    <col min="6152" max="6152" width="19.375" style="91" customWidth="1"/>
    <col min="6153" max="6153" width="11.375" style="91" bestFit="1" customWidth="1"/>
    <col min="6154" max="6154" width="13.125" style="91" customWidth="1"/>
    <col min="6155" max="6155" width="29.5" style="91" customWidth="1"/>
    <col min="6156" max="6156" width="13" style="91" customWidth="1"/>
    <col min="6157" max="6400" width="9" style="91"/>
    <col min="6401" max="6401" width="1.25" style="91" customWidth="1"/>
    <col min="6402" max="6402" width="5.875" style="91" customWidth="1"/>
    <col min="6403" max="6403" width="28.5" style="91" customWidth="1"/>
    <col min="6404" max="6404" width="15.25" style="91" customWidth="1"/>
    <col min="6405" max="6405" width="11.5" style="91" customWidth="1"/>
    <col min="6406" max="6406" width="12" style="91" customWidth="1"/>
    <col min="6407" max="6407" width="12.125" style="91" customWidth="1"/>
    <col min="6408" max="6408" width="19.375" style="91" customWidth="1"/>
    <col min="6409" max="6409" width="11.375" style="91" bestFit="1" customWidth="1"/>
    <col min="6410" max="6410" width="13.125" style="91" customWidth="1"/>
    <col min="6411" max="6411" width="29.5" style="91" customWidth="1"/>
    <col min="6412" max="6412" width="13" style="91" customWidth="1"/>
    <col min="6413" max="6656" width="9" style="91"/>
    <col min="6657" max="6657" width="1.25" style="91" customWidth="1"/>
    <col min="6658" max="6658" width="5.875" style="91" customWidth="1"/>
    <col min="6659" max="6659" width="28.5" style="91" customWidth="1"/>
    <col min="6660" max="6660" width="15.25" style="91" customWidth="1"/>
    <col min="6661" max="6661" width="11.5" style="91" customWidth="1"/>
    <col min="6662" max="6662" width="12" style="91" customWidth="1"/>
    <col min="6663" max="6663" width="12.125" style="91" customWidth="1"/>
    <col min="6664" max="6664" width="19.375" style="91" customWidth="1"/>
    <col min="6665" max="6665" width="11.375" style="91" bestFit="1" customWidth="1"/>
    <col min="6666" max="6666" width="13.125" style="91" customWidth="1"/>
    <col min="6667" max="6667" width="29.5" style="91" customWidth="1"/>
    <col min="6668" max="6668" width="13" style="91" customWidth="1"/>
    <col min="6669" max="6912" width="9" style="91"/>
    <col min="6913" max="6913" width="1.25" style="91" customWidth="1"/>
    <col min="6914" max="6914" width="5.875" style="91" customWidth="1"/>
    <col min="6915" max="6915" width="28.5" style="91" customWidth="1"/>
    <col min="6916" max="6916" width="15.25" style="91" customWidth="1"/>
    <col min="6917" max="6917" width="11.5" style="91" customWidth="1"/>
    <col min="6918" max="6918" width="12" style="91" customWidth="1"/>
    <col min="6919" max="6919" width="12.125" style="91" customWidth="1"/>
    <col min="6920" max="6920" width="19.375" style="91" customWidth="1"/>
    <col min="6921" max="6921" width="11.375" style="91" bestFit="1" customWidth="1"/>
    <col min="6922" max="6922" width="13.125" style="91" customWidth="1"/>
    <col min="6923" max="6923" width="29.5" style="91" customWidth="1"/>
    <col min="6924" max="6924" width="13" style="91" customWidth="1"/>
    <col min="6925" max="7168" width="9" style="91"/>
    <col min="7169" max="7169" width="1.25" style="91" customWidth="1"/>
    <col min="7170" max="7170" width="5.875" style="91" customWidth="1"/>
    <col min="7171" max="7171" width="28.5" style="91" customWidth="1"/>
    <col min="7172" max="7172" width="15.25" style="91" customWidth="1"/>
    <col min="7173" max="7173" width="11.5" style="91" customWidth="1"/>
    <col min="7174" max="7174" width="12" style="91" customWidth="1"/>
    <col min="7175" max="7175" width="12.125" style="91" customWidth="1"/>
    <col min="7176" max="7176" width="19.375" style="91" customWidth="1"/>
    <col min="7177" max="7177" width="11.375" style="91" bestFit="1" customWidth="1"/>
    <col min="7178" max="7178" width="13.125" style="91" customWidth="1"/>
    <col min="7179" max="7179" width="29.5" style="91" customWidth="1"/>
    <col min="7180" max="7180" width="13" style="91" customWidth="1"/>
    <col min="7181" max="7424" width="9" style="91"/>
    <col min="7425" max="7425" width="1.25" style="91" customWidth="1"/>
    <col min="7426" max="7426" width="5.875" style="91" customWidth="1"/>
    <col min="7427" max="7427" width="28.5" style="91" customWidth="1"/>
    <col min="7428" max="7428" width="15.25" style="91" customWidth="1"/>
    <col min="7429" max="7429" width="11.5" style="91" customWidth="1"/>
    <col min="7430" max="7430" width="12" style="91" customWidth="1"/>
    <col min="7431" max="7431" width="12.125" style="91" customWidth="1"/>
    <col min="7432" max="7432" width="19.375" style="91" customWidth="1"/>
    <col min="7433" max="7433" width="11.375" style="91" bestFit="1" customWidth="1"/>
    <col min="7434" max="7434" width="13.125" style="91" customWidth="1"/>
    <col min="7435" max="7435" width="29.5" style="91" customWidth="1"/>
    <col min="7436" max="7436" width="13" style="91" customWidth="1"/>
    <col min="7437" max="7680" width="9" style="91"/>
    <col min="7681" max="7681" width="1.25" style="91" customWidth="1"/>
    <col min="7682" max="7682" width="5.875" style="91" customWidth="1"/>
    <col min="7683" max="7683" width="28.5" style="91" customWidth="1"/>
    <col min="7684" max="7684" width="15.25" style="91" customWidth="1"/>
    <col min="7685" max="7685" width="11.5" style="91" customWidth="1"/>
    <col min="7686" max="7686" width="12" style="91" customWidth="1"/>
    <col min="7687" max="7687" width="12.125" style="91" customWidth="1"/>
    <col min="7688" max="7688" width="19.375" style="91" customWidth="1"/>
    <col min="7689" max="7689" width="11.375" style="91" bestFit="1" customWidth="1"/>
    <col min="7690" max="7690" width="13.125" style="91" customWidth="1"/>
    <col min="7691" max="7691" width="29.5" style="91" customWidth="1"/>
    <col min="7692" max="7692" width="13" style="91" customWidth="1"/>
    <col min="7693" max="7936" width="9" style="91"/>
    <col min="7937" max="7937" width="1.25" style="91" customWidth="1"/>
    <col min="7938" max="7938" width="5.875" style="91" customWidth="1"/>
    <col min="7939" max="7939" width="28.5" style="91" customWidth="1"/>
    <col min="7940" max="7940" width="15.25" style="91" customWidth="1"/>
    <col min="7941" max="7941" width="11.5" style="91" customWidth="1"/>
    <col min="7942" max="7942" width="12" style="91" customWidth="1"/>
    <col min="7943" max="7943" width="12.125" style="91" customWidth="1"/>
    <col min="7944" max="7944" width="19.375" style="91" customWidth="1"/>
    <col min="7945" max="7945" width="11.375" style="91" bestFit="1" customWidth="1"/>
    <col min="7946" max="7946" width="13.125" style="91" customWidth="1"/>
    <col min="7947" max="7947" width="29.5" style="91" customWidth="1"/>
    <col min="7948" max="7948" width="13" style="91" customWidth="1"/>
    <col min="7949" max="8192" width="9" style="91"/>
    <col min="8193" max="8193" width="1.25" style="91" customWidth="1"/>
    <col min="8194" max="8194" width="5.875" style="91" customWidth="1"/>
    <col min="8195" max="8195" width="28.5" style="91" customWidth="1"/>
    <col min="8196" max="8196" width="15.25" style="91" customWidth="1"/>
    <col min="8197" max="8197" width="11.5" style="91" customWidth="1"/>
    <col min="8198" max="8198" width="12" style="91" customWidth="1"/>
    <col min="8199" max="8199" width="12.125" style="91" customWidth="1"/>
    <col min="8200" max="8200" width="19.375" style="91" customWidth="1"/>
    <col min="8201" max="8201" width="11.375" style="91" bestFit="1" customWidth="1"/>
    <col min="8202" max="8202" width="13.125" style="91" customWidth="1"/>
    <col min="8203" max="8203" width="29.5" style="91" customWidth="1"/>
    <col min="8204" max="8204" width="13" style="91" customWidth="1"/>
    <col min="8205" max="8448" width="9" style="91"/>
    <col min="8449" max="8449" width="1.25" style="91" customWidth="1"/>
    <col min="8450" max="8450" width="5.875" style="91" customWidth="1"/>
    <col min="8451" max="8451" width="28.5" style="91" customWidth="1"/>
    <col min="8452" max="8452" width="15.25" style="91" customWidth="1"/>
    <col min="8453" max="8453" width="11.5" style="91" customWidth="1"/>
    <col min="8454" max="8454" width="12" style="91" customWidth="1"/>
    <col min="8455" max="8455" width="12.125" style="91" customWidth="1"/>
    <col min="8456" max="8456" width="19.375" style="91" customWidth="1"/>
    <col min="8457" max="8457" width="11.375" style="91" bestFit="1" customWidth="1"/>
    <col min="8458" max="8458" width="13.125" style="91" customWidth="1"/>
    <col min="8459" max="8459" width="29.5" style="91" customWidth="1"/>
    <col min="8460" max="8460" width="13" style="91" customWidth="1"/>
    <col min="8461" max="8704" width="9" style="91"/>
    <col min="8705" max="8705" width="1.25" style="91" customWidth="1"/>
    <col min="8706" max="8706" width="5.875" style="91" customWidth="1"/>
    <col min="8707" max="8707" width="28.5" style="91" customWidth="1"/>
    <col min="8708" max="8708" width="15.25" style="91" customWidth="1"/>
    <col min="8709" max="8709" width="11.5" style="91" customWidth="1"/>
    <col min="8710" max="8710" width="12" style="91" customWidth="1"/>
    <col min="8711" max="8711" width="12.125" style="91" customWidth="1"/>
    <col min="8712" max="8712" width="19.375" style="91" customWidth="1"/>
    <col min="8713" max="8713" width="11.375" style="91" bestFit="1" customWidth="1"/>
    <col min="8714" max="8714" width="13.125" style="91" customWidth="1"/>
    <col min="8715" max="8715" width="29.5" style="91" customWidth="1"/>
    <col min="8716" max="8716" width="13" style="91" customWidth="1"/>
    <col min="8717" max="8960" width="9" style="91"/>
    <col min="8961" max="8961" width="1.25" style="91" customWidth="1"/>
    <col min="8962" max="8962" width="5.875" style="91" customWidth="1"/>
    <col min="8963" max="8963" width="28.5" style="91" customWidth="1"/>
    <col min="8964" max="8964" width="15.25" style="91" customWidth="1"/>
    <col min="8965" max="8965" width="11.5" style="91" customWidth="1"/>
    <col min="8966" max="8966" width="12" style="91" customWidth="1"/>
    <col min="8967" max="8967" width="12.125" style="91" customWidth="1"/>
    <col min="8968" max="8968" width="19.375" style="91" customWidth="1"/>
    <col min="8969" max="8969" width="11.375" style="91" bestFit="1" customWidth="1"/>
    <col min="8970" max="8970" width="13.125" style="91" customWidth="1"/>
    <col min="8971" max="8971" width="29.5" style="91" customWidth="1"/>
    <col min="8972" max="8972" width="13" style="91" customWidth="1"/>
    <col min="8973" max="9216" width="9" style="91"/>
    <col min="9217" max="9217" width="1.25" style="91" customWidth="1"/>
    <col min="9218" max="9218" width="5.875" style="91" customWidth="1"/>
    <col min="9219" max="9219" width="28.5" style="91" customWidth="1"/>
    <col min="9220" max="9220" width="15.25" style="91" customWidth="1"/>
    <col min="9221" max="9221" width="11.5" style="91" customWidth="1"/>
    <col min="9222" max="9222" width="12" style="91" customWidth="1"/>
    <col min="9223" max="9223" width="12.125" style="91" customWidth="1"/>
    <col min="9224" max="9224" width="19.375" style="91" customWidth="1"/>
    <col min="9225" max="9225" width="11.375" style="91" bestFit="1" customWidth="1"/>
    <col min="9226" max="9226" width="13.125" style="91" customWidth="1"/>
    <col min="9227" max="9227" width="29.5" style="91" customWidth="1"/>
    <col min="9228" max="9228" width="13" style="91" customWidth="1"/>
    <col min="9229" max="9472" width="9" style="91"/>
    <col min="9473" max="9473" width="1.25" style="91" customWidth="1"/>
    <col min="9474" max="9474" width="5.875" style="91" customWidth="1"/>
    <col min="9475" max="9475" width="28.5" style="91" customWidth="1"/>
    <col min="9476" max="9476" width="15.25" style="91" customWidth="1"/>
    <col min="9477" max="9477" width="11.5" style="91" customWidth="1"/>
    <col min="9478" max="9478" width="12" style="91" customWidth="1"/>
    <col min="9479" max="9479" width="12.125" style="91" customWidth="1"/>
    <col min="9480" max="9480" width="19.375" style="91" customWidth="1"/>
    <col min="9481" max="9481" width="11.375" style="91" bestFit="1" customWidth="1"/>
    <col min="9482" max="9482" width="13.125" style="91" customWidth="1"/>
    <col min="9483" max="9483" width="29.5" style="91" customWidth="1"/>
    <col min="9484" max="9484" width="13" style="91" customWidth="1"/>
    <col min="9485" max="9728" width="9" style="91"/>
    <col min="9729" max="9729" width="1.25" style="91" customWidth="1"/>
    <col min="9730" max="9730" width="5.875" style="91" customWidth="1"/>
    <col min="9731" max="9731" width="28.5" style="91" customWidth="1"/>
    <col min="9732" max="9732" width="15.25" style="91" customWidth="1"/>
    <col min="9733" max="9733" width="11.5" style="91" customWidth="1"/>
    <col min="9734" max="9734" width="12" style="91" customWidth="1"/>
    <col min="9735" max="9735" width="12.125" style="91" customWidth="1"/>
    <col min="9736" max="9736" width="19.375" style="91" customWidth="1"/>
    <col min="9737" max="9737" width="11.375" style="91" bestFit="1" customWidth="1"/>
    <col min="9738" max="9738" width="13.125" style="91" customWidth="1"/>
    <col min="9739" max="9739" width="29.5" style="91" customWidth="1"/>
    <col min="9740" max="9740" width="13" style="91" customWidth="1"/>
    <col min="9741" max="9984" width="9" style="91"/>
    <col min="9985" max="9985" width="1.25" style="91" customWidth="1"/>
    <col min="9986" max="9986" width="5.875" style="91" customWidth="1"/>
    <col min="9987" max="9987" width="28.5" style="91" customWidth="1"/>
    <col min="9988" max="9988" width="15.25" style="91" customWidth="1"/>
    <col min="9989" max="9989" width="11.5" style="91" customWidth="1"/>
    <col min="9990" max="9990" width="12" style="91" customWidth="1"/>
    <col min="9991" max="9991" width="12.125" style="91" customWidth="1"/>
    <col min="9992" max="9992" width="19.375" style="91" customWidth="1"/>
    <col min="9993" max="9993" width="11.375" style="91" bestFit="1" customWidth="1"/>
    <col min="9994" max="9994" width="13.125" style="91" customWidth="1"/>
    <col min="9995" max="9995" width="29.5" style="91" customWidth="1"/>
    <col min="9996" max="9996" width="13" style="91" customWidth="1"/>
    <col min="9997" max="10240" width="9" style="91"/>
    <col min="10241" max="10241" width="1.25" style="91" customWidth="1"/>
    <col min="10242" max="10242" width="5.875" style="91" customWidth="1"/>
    <col min="10243" max="10243" width="28.5" style="91" customWidth="1"/>
    <col min="10244" max="10244" width="15.25" style="91" customWidth="1"/>
    <col min="10245" max="10245" width="11.5" style="91" customWidth="1"/>
    <col min="10246" max="10246" width="12" style="91" customWidth="1"/>
    <col min="10247" max="10247" width="12.125" style="91" customWidth="1"/>
    <col min="10248" max="10248" width="19.375" style="91" customWidth="1"/>
    <col min="10249" max="10249" width="11.375" style="91" bestFit="1" customWidth="1"/>
    <col min="10250" max="10250" width="13.125" style="91" customWidth="1"/>
    <col min="10251" max="10251" width="29.5" style="91" customWidth="1"/>
    <col min="10252" max="10252" width="13" style="91" customWidth="1"/>
    <col min="10253" max="10496" width="9" style="91"/>
    <col min="10497" max="10497" width="1.25" style="91" customWidth="1"/>
    <col min="10498" max="10498" width="5.875" style="91" customWidth="1"/>
    <col min="10499" max="10499" width="28.5" style="91" customWidth="1"/>
    <col min="10500" max="10500" width="15.25" style="91" customWidth="1"/>
    <col min="10501" max="10501" width="11.5" style="91" customWidth="1"/>
    <col min="10502" max="10502" width="12" style="91" customWidth="1"/>
    <col min="10503" max="10503" width="12.125" style="91" customWidth="1"/>
    <col min="10504" max="10504" width="19.375" style="91" customWidth="1"/>
    <col min="10505" max="10505" width="11.375" style="91" bestFit="1" customWidth="1"/>
    <col min="10506" max="10506" width="13.125" style="91" customWidth="1"/>
    <col min="10507" max="10507" width="29.5" style="91" customWidth="1"/>
    <col min="10508" max="10508" width="13" style="91" customWidth="1"/>
    <col min="10509" max="10752" width="9" style="91"/>
    <col min="10753" max="10753" width="1.25" style="91" customWidth="1"/>
    <col min="10754" max="10754" width="5.875" style="91" customWidth="1"/>
    <col min="10755" max="10755" width="28.5" style="91" customWidth="1"/>
    <col min="10756" max="10756" width="15.25" style="91" customWidth="1"/>
    <col min="10757" max="10757" width="11.5" style="91" customWidth="1"/>
    <col min="10758" max="10758" width="12" style="91" customWidth="1"/>
    <col min="10759" max="10759" width="12.125" style="91" customWidth="1"/>
    <col min="10760" max="10760" width="19.375" style="91" customWidth="1"/>
    <col min="10761" max="10761" width="11.375" style="91" bestFit="1" customWidth="1"/>
    <col min="10762" max="10762" width="13.125" style="91" customWidth="1"/>
    <col min="10763" max="10763" width="29.5" style="91" customWidth="1"/>
    <col min="10764" max="10764" width="13" style="91" customWidth="1"/>
    <col min="10765" max="11008" width="9" style="91"/>
    <col min="11009" max="11009" width="1.25" style="91" customWidth="1"/>
    <col min="11010" max="11010" width="5.875" style="91" customWidth="1"/>
    <col min="11011" max="11011" width="28.5" style="91" customWidth="1"/>
    <col min="11012" max="11012" width="15.25" style="91" customWidth="1"/>
    <col min="11013" max="11013" width="11.5" style="91" customWidth="1"/>
    <col min="11014" max="11014" width="12" style="91" customWidth="1"/>
    <col min="11015" max="11015" width="12.125" style="91" customWidth="1"/>
    <col min="11016" max="11016" width="19.375" style="91" customWidth="1"/>
    <col min="11017" max="11017" width="11.375" style="91" bestFit="1" customWidth="1"/>
    <col min="11018" max="11018" width="13.125" style="91" customWidth="1"/>
    <col min="11019" max="11019" width="29.5" style="91" customWidth="1"/>
    <col min="11020" max="11020" width="13" style="91" customWidth="1"/>
    <col min="11021" max="11264" width="9" style="91"/>
    <col min="11265" max="11265" width="1.25" style="91" customWidth="1"/>
    <col min="11266" max="11266" width="5.875" style="91" customWidth="1"/>
    <col min="11267" max="11267" width="28.5" style="91" customWidth="1"/>
    <col min="11268" max="11268" width="15.25" style="91" customWidth="1"/>
    <col min="11269" max="11269" width="11.5" style="91" customWidth="1"/>
    <col min="11270" max="11270" width="12" style="91" customWidth="1"/>
    <col min="11271" max="11271" width="12.125" style="91" customWidth="1"/>
    <col min="11272" max="11272" width="19.375" style="91" customWidth="1"/>
    <col min="11273" max="11273" width="11.375" style="91" bestFit="1" customWidth="1"/>
    <col min="11274" max="11274" width="13.125" style="91" customWidth="1"/>
    <col min="11275" max="11275" width="29.5" style="91" customWidth="1"/>
    <col min="11276" max="11276" width="13" style="91" customWidth="1"/>
    <col min="11277" max="11520" width="9" style="91"/>
    <col min="11521" max="11521" width="1.25" style="91" customWidth="1"/>
    <col min="11522" max="11522" width="5.875" style="91" customWidth="1"/>
    <col min="11523" max="11523" width="28.5" style="91" customWidth="1"/>
    <col min="11524" max="11524" width="15.25" style="91" customWidth="1"/>
    <col min="11525" max="11525" width="11.5" style="91" customWidth="1"/>
    <col min="11526" max="11526" width="12" style="91" customWidth="1"/>
    <col min="11527" max="11527" width="12.125" style="91" customWidth="1"/>
    <col min="11528" max="11528" width="19.375" style="91" customWidth="1"/>
    <col min="11529" max="11529" width="11.375" style="91" bestFit="1" customWidth="1"/>
    <col min="11530" max="11530" width="13.125" style="91" customWidth="1"/>
    <col min="11531" max="11531" width="29.5" style="91" customWidth="1"/>
    <col min="11532" max="11532" width="13" style="91" customWidth="1"/>
    <col min="11533" max="11776" width="9" style="91"/>
    <col min="11777" max="11777" width="1.25" style="91" customWidth="1"/>
    <col min="11778" max="11778" width="5.875" style="91" customWidth="1"/>
    <col min="11779" max="11779" width="28.5" style="91" customWidth="1"/>
    <col min="11780" max="11780" width="15.25" style="91" customWidth="1"/>
    <col min="11781" max="11781" width="11.5" style="91" customWidth="1"/>
    <col min="11782" max="11782" width="12" style="91" customWidth="1"/>
    <col min="11783" max="11783" width="12.125" style="91" customWidth="1"/>
    <col min="11784" max="11784" width="19.375" style="91" customWidth="1"/>
    <col min="11785" max="11785" width="11.375" style="91" bestFit="1" customWidth="1"/>
    <col min="11786" max="11786" width="13.125" style="91" customWidth="1"/>
    <col min="11787" max="11787" width="29.5" style="91" customWidth="1"/>
    <col min="11788" max="11788" width="13" style="91" customWidth="1"/>
    <col min="11789" max="12032" width="9" style="91"/>
    <col min="12033" max="12033" width="1.25" style="91" customWidth="1"/>
    <col min="12034" max="12034" width="5.875" style="91" customWidth="1"/>
    <col min="12035" max="12035" width="28.5" style="91" customWidth="1"/>
    <col min="12036" max="12036" width="15.25" style="91" customWidth="1"/>
    <col min="12037" max="12037" width="11.5" style="91" customWidth="1"/>
    <col min="12038" max="12038" width="12" style="91" customWidth="1"/>
    <col min="12039" max="12039" width="12.125" style="91" customWidth="1"/>
    <col min="12040" max="12040" width="19.375" style="91" customWidth="1"/>
    <col min="12041" max="12041" width="11.375" style="91" bestFit="1" customWidth="1"/>
    <col min="12042" max="12042" width="13.125" style="91" customWidth="1"/>
    <col min="12043" max="12043" width="29.5" style="91" customWidth="1"/>
    <col min="12044" max="12044" width="13" style="91" customWidth="1"/>
    <col min="12045" max="12288" width="9" style="91"/>
    <col min="12289" max="12289" width="1.25" style="91" customWidth="1"/>
    <col min="12290" max="12290" width="5.875" style="91" customWidth="1"/>
    <col min="12291" max="12291" width="28.5" style="91" customWidth="1"/>
    <col min="12292" max="12292" width="15.25" style="91" customWidth="1"/>
    <col min="12293" max="12293" width="11.5" style="91" customWidth="1"/>
    <col min="12294" max="12294" width="12" style="91" customWidth="1"/>
    <col min="12295" max="12295" width="12.125" style="91" customWidth="1"/>
    <col min="12296" max="12296" width="19.375" style="91" customWidth="1"/>
    <col min="12297" max="12297" width="11.375" style="91" bestFit="1" customWidth="1"/>
    <col min="12298" max="12298" width="13.125" style="91" customWidth="1"/>
    <col min="12299" max="12299" width="29.5" style="91" customWidth="1"/>
    <col min="12300" max="12300" width="13" style="91" customWidth="1"/>
    <col min="12301" max="12544" width="9" style="91"/>
    <col min="12545" max="12545" width="1.25" style="91" customWidth="1"/>
    <col min="12546" max="12546" width="5.875" style="91" customWidth="1"/>
    <col min="12547" max="12547" width="28.5" style="91" customWidth="1"/>
    <col min="12548" max="12548" width="15.25" style="91" customWidth="1"/>
    <col min="12549" max="12549" width="11.5" style="91" customWidth="1"/>
    <col min="12550" max="12550" width="12" style="91" customWidth="1"/>
    <col min="12551" max="12551" width="12.125" style="91" customWidth="1"/>
    <col min="12552" max="12552" width="19.375" style="91" customWidth="1"/>
    <col min="12553" max="12553" width="11.375" style="91" bestFit="1" customWidth="1"/>
    <col min="12554" max="12554" width="13.125" style="91" customWidth="1"/>
    <col min="12555" max="12555" width="29.5" style="91" customWidth="1"/>
    <col min="12556" max="12556" width="13" style="91" customWidth="1"/>
    <col min="12557" max="12800" width="9" style="91"/>
    <col min="12801" max="12801" width="1.25" style="91" customWidth="1"/>
    <col min="12802" max="12802" width="5.875" style="91" customWidth="1"/>
    <col min="12803" max="12803" width="28.5" style="91" customWidth="1"/>
    <col min="12804" max="12804" width="15.25" style="91" customWidth="1"/>
    <col min="12805" max="12805" width="11.5" style="91" customWidth="1"/>
    <col min="12806" max="12806" width="12" style="91" customWidth="1"/>
    <col min="12807" max="12807" width="12.125" style="91" customWidth="1"/>
    <col min="12808" max="12808" width="19.375" style="91" customWidth="1"/>
    <col min="12809" max="12809" width="11.375" style="91" bestFit="1" customWidth="1"/>
    <col min="12810" max="12810" width="13.125" style="91" customWidth="1"/>
    <col min="12811" max="12811" width="29.5" style="91" customWidth="1"/>
    <col min="12812" max="12812" width="13" style="91" customWidth="1"/>
    <col min="12813" max="13056" width="9" style="91"/>
    <col min="13057" max="13057" width="1.25" style="91" customWidth="1"/>
    <col min="13058" max="13058" width="5.875" style="91" customWidth="1"/>
    <col min="13059" max="13059" width="28.5" style="91" customWidth="1"/>
    <col min="13060" max="13060" width="15.25" style="91" customWidth="1"/>
    <col min="13061" max="13061" width="11.5" style="91" customWidth="1"/>
    <col min="13062" max="13062" width="12" style="91" customWidth="1"/>
    <col min="13063" max="13063" width="12.125" style="91" customWidth="1"/>
    <col min="13064" max="13064" width="19.375" style="91" customWidth="1"/>
    <col min="13065" max="13065" width="11.375" style="91" bestFit="1" customWidth="1"/>
    <col min="13066" max="13066" width="13.125" style="91" customWidth="1"/>
    <col min="13067" max="13067" width="29.5" style="91" customWidth="1"/>
    <col min="13068" max="13068" width="13" style="91" customWidth="1"/>
    <col min="13069" max="13312" width="9" style="91"/>
    <col min="13313" max="13313" width="1.25" style="91" customWidth="1"/>
    <col min="13314" max="13314" width="5.875" style="91" customWidth="1"/>
    <col min="13315" max="13315" width="28.5" style="91" customWidth="1"/>
    <col min="13316" max="13316" width="15.25" style="91" customWidth="1"/>
    <col min="13317" max="13317" width="11.5" style="91" customWidth="1"/>
    <col min="13318" max="13318" width="12" style="91" customWidth="1"/>
    <col min="13319" max="13319" width="12.125" style="91" customWidth="1"/>
    <col min="13320" max="13320" width="19.375" style="91" customWidth="1"/>
    <col min="13321" max="13321" width="11.375" style="91" bestFit="1" customWidth="1"/>
    <col min="13322" max="13322" width="13.125" style="91" customWidth="1"/>
    <col min="13323" max="13323" width="29.5" style="91" customWidth="1"/>
    <col min="13324" max="13324" width="13" style="91" customWidth="1"/>
    <col min="13325" max="13568" width="9" style="91"/>
    <col min="13569" max="13569" width="1.25" style="91" customWidth="1"/>
    <col min="13570" max="13570" width="5.875" style="91" customWidth="1"/>
    <col min="13571" max="13571" width="28.5" style="91" customWidth="1"/>
    <col min="13572" max="13572" width="15.25" style="91" customWidth="1"/>
    <col min="13573" max="13573" width="11.5" style="91" customWidth="1"/>
    <col min="13574" max="13574" width="12" style="91" customWidth="1"/>
    <col min="13575" max="13575" width="12.125" style="91" customWidth="1"/>
    <col min="13576" max="13576" width="19.375" style="91" customWidth="1"/>
    <col min="13577" max="13577" width="11.375" style="91" bestFit="1" customWidth="1"/>
    <col min="13578" max="13578" width="13.125" style="91" customWidth="1"/>
    <col min="13579" max="13579" width="29.5" style="91" customWidth="1"/>
    <col min="13580" max="13580" width="13" style="91" customWidth="1"/>
    <col min="13581" max="13824" width="9" style="91"/>
    <col min="13825" max="13825" width="1.25" style="91" customWidth="1"/>
    <col min="13826" max="13826" width="5.875" style="91" customWidth="1"/>
    <col min="13827" max="13827" width="28.5" style="91" customWidth="1"/>
    <col min="13828" max="13828" width="15.25" style="91" customWidth="1"/>
    <col min="13829" max="13829" width="11.5" style="91" customWidth="1"/>
    <col min="13830" max="13830" width="12" style="91" customWidth="1"/>
    <col min="13831" max="13831" width="12.125" style="91" customWidth="1"/>
    <col min="13832" max="13832" width="19.375" style="91" customWidth="1"/>
    <col min="13833" max="13833" width="11.375" style="91" bestFit="1" customWidth="1"/>
    <col min="13834" max="13834" width="13.125" style="91" customWidth="1"/>
    <col min="13835" max="13835" width="29.5" style="91" customWidth="1"/>
    <col min="13836" max="13836" width="13" style="91" customWidth="1"/>
    <col min="13837" max="14080" width="9" style="91"/>
    <col min="14081" max="14081" width="1.25" style="91" customWidth="1"/>
    <col min="14082" max="14082" width="5.875" style="91" customWidth="1"/>
    <col min="14083" max="14083" width="28.5" style="91" customWidth="1"/>
    <col min="14084" max="14084" width="15.25" style="91" customWidth="1"/>
    <col min="14085" max="14085" width="11.5" style="91" customWidth="1"/>
    <col min="14086" max="14086" width="12" style="91" customWidth="1"/>
    <col min="14087" max="14087" width="12.125" style="91" customWidth="1"/>
    <col min="14088" max="14088" width="19.375" style="91" customWidth="1"/>
    <col min="14089" max="14089" width="11.375" style="91" bestFit="1" customWidth="1"/>
    <col min="14090" max="14090" width="13.125" style="91" customWidth="1"/>
    <col min="14091" max="14091" width="29.5" style="91" customWidth="1"/>
    <col min="14092" max="14092" width="13" style="91" customWidth="1"/>
    <col min="14093" max="14336" width="9" style="91"/>
    <col min="14337" max="14337" width="1.25" style="91" customWidth="1"/>
    <col min="14338" max="14338" width="5.875" style="91" customWidth="1"/>
    <col min="14339" max="14339" width="28.5" style="91" customWidth="1"/>
    <col min="14340" max="14340" width="15.25" style="91" customWidth="1"/>
    <col min="14341" max="14341" width="11.5" style="91" customWidth="1"/>
    <col min="14342" max="14342" width="12" style="91" customWidth="1"/>
    <col min="14343" max="14343" width="12.125" style="91" customWidth="1"/>
    <col min="14344" max="14344" width="19.375" style="91" customWidth="1"/>
    <col min="14345" max="14345" width="11.375" style="91" bestFit="1" customWidth="1"/>
    <col min="14346" max="14346" width="13.125" style="91" customWidth="1"/>
    <col min="14347" max="14347" width="29.5" style="91" customWidth="1"/>
    <col min="14348" max="14348" width="13" style="91" customWidth="1"/>
    <col min="14349" max="14592" width="9" style="91"/>
    <col min="14593" max="14593" width="1.25" style="91" customWidth="1"/>
    <col min="14594" max="14594" width="5.875" style="91" customWidth="1"/>
    <col min="14595" max="14595" width="28.5" style="91" customWidth="1"/>
    <col min="14596" max="14596" width="15.25" style="91" customWidth="1"/>
    <col min="14597" max="14597" width="11.5" style="91" customWidth="1"/>
    <col min="14598" max="14598" width="12" style="91" customWidth="1"/>
    <col min="14599" max="14599" width="12.125" style="91" customWidth="1"/>
    <col min="14600" max="14600" width="19.375" style="91" customWidth="1"/>
    <col min="14601" max="14601" width="11.375" style="91" bestFit="1" customWidth="1"/>
    <col min="14602" max="14602" width="13.125" style="91" customWidth="1"/>
    <col min="14603" max="14603" width="29.5" style="91" customWidth="1"/>
    <col min="14604" max="14604" width="13" style="91" customWidth="1"/>
    <col min="14605" max="14848" width="9" style="91"/>
    <col min="14849" max="14849" width="1.25" style="91" customWidth="1"/>
    <col min="14850" max="14850" width="5.875" style="91" customWidth="1"/>
    <col min="14851" max="14851" width="28.5" style="91" customWidth="1"/>
    <col min="14852" max="14852" width="15.25" style="91" customWidth="1"/>
    <col min="14853" max="14853" width="11.5" style="91" customWidth="1"/>
    <col min="14854" max="14854" width="12" style="91" customWidth="1"/>
    <col min="14855" max="14855" width="12.125" style="91" customWidth="1"/>
    <col min="14856" max="14856" width="19.375" style="91" customWidth="1"/>
    <col min="14857" max="14857" width="11.375" style="91" bestFit="1" customWidth="1"/>
    <col min="14858" max="14858" width="13.125" style="91" customWidth="1"/>
    <col min="14859" max="14859" width="29.5" style="91" customWidth="1"/>
    <col min="14860" max="14860" width="13" style="91" customWidth="1"/>
    <col min="14861" max="15104" width="9" style="91"/>
    <col min="15105" max="15105" width="1.25" style="91" customWidth="1"/>
    <col min="15106" max="15106" width="5.875" style="91" customWidth="1"/>
    <col min="15107" max="15107" width="28.5" style="91" customWidth="1"/>
    <col min="15108" max="15108" width="15.25" style="91" customWidth="1"/>
    <col min="15109" max="15109" width="11.5" style="91" customWidth="1"/>
    <col min="15110" max="15110" width="12" style="91" customWidth="1"/>
    <col min="15111" max="15111" width="12.125" style="91" customWidth="1"/>
    <col min="15112" max="15112" width="19.375" style="91" customWidth="1"/>
    <col min="15113" max="15113" width="11.375" style="91" bestFit="1" customWidth="1"/>
    <col min="15114" max="15114" width="13.125" style="91" customWidth="1"/>
    <col min="15115" max="15115" width="29.5" style="91" customWidth="1"/>
    <col min="15116" max="15116" width="13" style="91" customWidth="1"/>
    <col min="15117" max="15360" width="9" style="91"/>
    <col min="15361" max="15361" width="1.25" style="91" customWidth="1"/>
    <col min="15362" max="15362" width="5.875" style="91" customWidth="1"/>
    <col min="15363" max="15363" width="28.5" style="91" customWidth="1"/>
    <col min="15364" max="15364" width="15.25" style="91" customWidth="1"/>
    <col min="15365" max="15365" width="11.5" style="91" customWidth="1"/>
    <col min="15366" max="15366" width="12" style="91" customWidth="1"/>
    <col min="15367" max="15367" width="12.125" style="91" customWidth="1"/>
    <col min="15368" max="15368" width="19.375" style="91" customWidth="1"/>
    <col min="15369" max="15369" width="11.375" style="91" bestFit="1" customWidth="1"/>
    <col min="15370" max="15370" width="13.125" style="91" customWidth="1"/>
    <col min="15371" max="15371" width="29.5" style="91" customWidth="1"/>
    <col min="15372" max="15372" width="13" style="91" customWidth="1"/>
    <col min="15373" max="15616" width="9" style="91"/>
    <col min="15617" max="15617" width="1.25" style="91" customWidth="1"/>
    <col min="15618" max="15618" width="5.875" style="91" customWidth="1"/>
    <col min="15619" max="15619" width="28.5" style="91" customWidth="1"/>
    <col min="15620" max="15620" width="15.25" style="91" customWidth="1"/>
    <col min="15621" max="15621" width="11.5" style="91" customWidth="1"/>
    <col min="15622" max="15622" width="12" style="91" customWidth="1"/>
    <col min="15623" max="15623" width="12.125" style="91" customWidth="1"/>
    <col min="15624" max="15624" width="19.375" style="91" customWidth="1"/>
    <col min="15625" max="15625" width="11.375" style="91" bestFit="1" customWidth="1"/>
    <col min="15626" max="15626" width="13.125" style="91" customWidth="1"/>
    <col min="15627" max="15627" width="29.5" style="91" customWidth="1"/>
    <col min="15628" max="15628" width="13" style="91" customWidth="1"/>
    <col min="15629" max="15872" width="9" style="91"/>
    <col min="15873" max="15873" width="1.25" style="91" customWidth="1"/>
    <col min="15874" max="15874" width="5.875" style="91" customWidth="1"/>
    <col min="15875" max="15875" width="28.5" style="91" customWidth="1"/>
    <col min="15876" max="15876" width="15.25" style="91" customWidth="1"/>
    <col min="15877" max="15877" width="11.5" style="91" customWidth="1"/>
    <col min="15878" max="15878" width="12" style="91" customWidth="1"/>
    <col min="15879" max="15879" width="12.125" style="91" customWidth="1"/>
    <col min="15880" max="15880" width="19.375" style="91" customWidth="1"/>
    <col min="15881" max="15881" width="11.375" style="91" bestFit="1" customWidth="1"/>
    <col min="15882" max="15882" width="13.125" style="91" customWidth="1"/>
    <col min="15883" max="15883" width="29.5" style="91" customWidth="1"/>
    <col min="15884" max="15884" width="13" style="91" customWidth="1"/>
    <col min="15885" max="16128" width="9" style="91"/>
    <col min="16129" max="16129" width="1.25" style="91" customWidth="1"/>
    <col min="16130" max="16130" width="5.875" style="91" customWidth="1"/>
    <col min="16131" max="16131" width="28.5" style="91" customWidth="1"/>
    <col min="16132" max="16132" width="15.25" style="91" customWidth="1"/>
    <col min="16133" max="16133" width="11.5" style="91" customWidth="1"/>
    <col min="16134" max="16134" width="12" style="91" customWidth="1"/>
    <col min="16135" max="16135" width="12.125" style="91" customWidth="1"/>
    <col min="16136" max="16136" width="19.375" style="91" customWidth="1"/>
    <col min="16137" max="16137" width="11.375" style="91" bestFit="1" customWidth="1"/>
    <col min="16138" max="16138" width="13.125" style="91" customWidth="1"/>
    <col min="16139" max="16139" width="29.5" style="91" customWidth="1"/>
    <col min="16140" max="16140" width="13" style="91" customWidth="1"/>
    <col min="16141" max="16384" width="9" style="91"/>
  </cols>
  <sheetData>
    <row r="1" spans="1:13" ht="36.75">
      <c r="B1" s="729" t="s">
        <v>20</v>
      </c>
      <c r="C1" s="729"/>
      <c r="D1" s="729"/>
      <c r="E1" s="729"/>
      <c r="F1" s="729"/>
      <c r="G1" s="729"/>
      <c r="H1" s="729"/>
      <c r="I1" s="729"/>
      <c r="J1" s="729"/>
      <c r="K1" s="729"/>
      <c r="L1" s="729"/>
      <c r="M1" s="729"/>
    </row>
    <row r="2" spans="1:13" s="95" customFormat="1" ht="21" customHeight="1">
      <c r="A2" s="92"/>
      <c r="B2" s="730" t="s">
        <v>21</v>
      </c>
      <c r="C2" s="731"/>
      <c r="D2" s="731"/>
      <c r="E2" s="731"/>
      <c r="F2" s="93" t="s">
        <v>22</v>
      </c>
      <c r="G2" s="731" t="s">
        <v>23</v>
      </c>
      <c r="H2" s="732"/>
      <c r="I2" s="733" t="s">
        <v>24</v>
      </c>
      <c r="J2" s="734"/>
      <c r="K2" s="94" t="s">
        <v>25</v>
      </c>
    </row>
    <row r="3" spans="1:13" s="95" customFormat="1" ht="17.25" outlineLevel="1">
      <c r="A3" s="92"/>
      <c r="B3" s="96">
        <v>1</v>
      </c>
      <c r="C3" s="97" t="s">
        <v>26</v>
      </c>
      <c r="D3" s="735" t="s">
        <v>713</v>
      </c>
      <c r="E3" s="736"/>
      <c r="F3" s="98" t="s">
        <v>34</v>
      </c>
      <c r="G3" s="737" t="s">
        <v>27</v>
      </c>
      <c r="H3" s="738"/>
      <c r="I3" s="739"/>
      <c r="J3" s="740"/>
      <c r="K3" s="99"/>
    </row>
    <row r="4" spans="1:13" s="95" customFormat="1" ht="17.25" outlineLevel="1">
      <c r="A4" s="92"/>
      <c r="B4" s="100">
        <v>2</v>
      </c>
      <c r="C4" s="101" t="s">
        <v>28</v>
      </c>
      <c r="D4" s="724" t="s">
        <v>714</v>
      </c>
      <c r="E4" s="721"/>
      <c r="F4" s="102" t="s">
        <v>34</v>
      </c>
      <c r="G4" s="725" t="s">
        <v>29</v>
      </c>
      <c r="H4" s="726"/>
      <c r="I4" s="722"/>
      <c r="J4" s="723"/>
      <c r="K4" s="103"/>
    </row>
    <row r="5" spans="1:13" s="95" customFormat="1" ht="17.25" outlineLevel="1">
      <c r="A5" s="92"/>
      <c r="B5" s="104">
        <v>3</v>
      </c>
      <c r="C5" s="103" t="s">
        <v>30</v>
      </c>
      <c r="D5" s="724" t="s">
        <v>715</v>
      </c>
      <c r="E5" s="721"/>
      <c r="F5" s="102" t="s">
        <v>34</v>
      </c>
      <c r="G5" s="727"/>
      <c r="H5" s="728"/>
      <c r="I5" s="722"/>
      <c r="J5" s="723"/>
      <c r="K5" s="103"/>
    </row>
    <row r="6" spans="1:13" s="95" customFormat="1" ht="17.25" outlineLevel="1">
      <c r="A6" s="92"/>
      <c r="B6" s="104">
        <v>4</v>
      </c>
      <c r="C6" s="103" t="s">
        <v>32</v>
      </c>
      <c r="D6" s="720" t="s">
        <v>716</v>
      </c>
      <c r="E6" s="721"/>
      <c r="F6" s="102" t="s">
        <v>34</v>
      </c>
      <c r="G6" s="718"/>
      <c r="H6" s="719"/>
      <c r="I6" s="722"/>
      <c r="J6" s="723"/>
      <c r="K6" s="103"/>
    </row>
    <row r="7" spans="1:13" s="95" customFormat="1" ht="17.25" outlineLevel="1">
      <c r="A7" s="92"/>
      <c r="B7" s="100">
        <v>5</v>
      </c>
      <c r="C7" s="105" t="s">
        <v>33</v>
      </c>
      <c r="D7" s="724" t="s">
        <v>717</v>
      </c>
      <c r="E7" s="717"/>
      <c r="F7" s="102" t="s">
        <v>34</v>
      </c>
      <c r="G7" s="106"/>
      <c r="H7" s="107"/>
      <c r="I7" s="108"/>
      <c r="J7" s="109"/>
      <c r="K7" s="103"/>
    </row>
    <row r="8" spans="1:13" s="95" customFormat="1" ht="17.25" outlineLevel="1">
      <c r="A8" s="92"/>
      <c r="B8" s="100">
        <v>6</v>
      </c>
      <c r="C8" s="105" t="s">
        <v>35</v>
      </c>
      <c r="D8" s="720" t="s">
        <v>718</v>
      </c>
      <c r="E8" s="721"/>
      <c r="F8" s="102" t="s">
        <v>34</v>
      </c>
      <c r="G8" s="718"/>
      <c r="H8" s="719"/>
      <c r="I8" s="722"/>
      <c r="J8" s="723"/>
      <c r="K8" s="103"/>
    </row>
    <row r="9" spans="1:13" s="95" customFormat="1" ht="17.25" outlineLevel="1">
      <c r="A9" s="92"/>
      <c r="B9" s="104">
        <v>7</v>
      </c>
      <c r="C9" s="105" t="s">
        <v>36</v>
      </c>
      <c r="D9" s="720" t="s">
        <v>719</v>
      </c>
      <c r="E9" s="721"/>
      <c r="F9" s="102" t="s">
        <v>31</v>
      </c>
      <c r="G9" s="718"/>
      <c r="H9" s="719"/>
      <c r="I9" s="722"/>
      <c r="J9" s="723"/>
      <c r="K9" s="103"/>
    </row>
    <row r="10" spans="1:13" s="95" customFormat="1" ht="17.25" outlineLevel="1">
      <c r="A10" s="92"/>
      <c r="B10" s="104">
        <v>8</v>
      </c>
      <c r="C10" s="105" t="s">
        <v>37</v>
      </c>
      <c r="D10" s="720" t="s">
        <v>720</v>
      </c>
      <c r="E10" s="717"/>
      <c r="F10" s="102" t="s">
        <v>34</v>
      </c>
      <c r="G10" s="718"/>
      <c r="H10" s="719"/>
      <c r="I10" s="108"/>
      <c r="J10" s="109"/>
      <c r="K10" s="103"/>
    </row>
    <row r="11" spans="1:13" s="95" customFormat="1" ht="17.25" outlineLevel="1">
      <c r="A11" s="92"/>
      <c r="B11" s="100">
        <v>9</v>
      </c>
      <c r="C11" s="105" t="s">
        <v>38</v>
      </c>
      <c r="D11" s="716" t="s">
        <v>721</v>
      </c>
      <c r="E11" s="717"/>
      <c r="F11" s="102" t="s">
        <v>34</v>
      </c>
      <c r="G11" s="718"/>
      <c r="H11" s="719"/>
      <c r="I11" s="108"/>
      <c r="J11" s="109"/>
      <c r="K11" s="103"/>
    </row>
    <row r="12" spans="1:13" s="95" customFormat="1" ht="17.25">
      <c r="A12" s="92"/>
      <c r="B12" s="704" t="s">
        <v>39</v>
      </c>
      <c r="C12" s="707" t="s">
        <v>40</v>
      </c>
      <c r="D12" s="708"/>
      <c r="E12" s="708"/>
      <c r="F12" s="708"/>
      <c r="G12" s="708"/>
      <c r="H12" s="708"/>
      <c r="I12" s="708"/>
      <c r="J12" s="709"/>
    </row>
    <row r="13" spans="1:13" s="95" customFormat="1" ht="17.25">
      <c r="A13" s="92"/>
      <c r="B13" s="705"/>
      <c r="C13" s="710" t="s">
        <v>41</v>
      </c>
      <c r="D13" s="711"/>
      <c r="E13" s="711"/>
      <c r="F13" s="711"/>
      <c r="G13" s="711"/>
      <c r="H13" s="711"/>
      <c r="I13" s="711"/>
      <c r="J13" s="712"/>
    </row>
    <row r="14" spans="1:13" s="95" customFormat="1" ht="17.25">
      <c r="A14" s="92"/>
      <c r="B14" s="706"/>
      <c r="C14" s="710" t="s">
        <v>42</v>
      </c>
      <c r="D14" s="711"/>
      <c r="E14" s="711"/>
      <c r="F14" s="711"/>
      <c r="G14" s="711"/>
      <c r="H14" s="711"/>
      <c r="I14" s="711"/>
      <c r="J14" s="712"/>
    </row>
    <row r="15" spans="1:13" ht="16.5">
      <c r="B15" s="713" t="s">
        <v>43</v>
      </c>
      <c r="C15" s="714" t="s">
        <v>44</v>
      </c>
      <c r="D15" s="700" t="s">
        <v>21</v>
      </c>
      <c r="E15" s="700"/>
      <c r="F15" s="700"/>
      <c r="G15" s="700"/>
      <c r="H15" s="713" t="s">
        <v>45</v>
      </c>
      <c r="I15" s="713" t="s">
        <v>46</v>
      </c>
      <c r="J15" s="700" t="s">
        <v>47</v>
      </c>
      <c r="K15" s="700" t="s">
        <v>48</v>
      </c>
      <c r="L15" s="700" t="s">
        <v>49</v>
      </c>
    </row>
    <row r="16" spans="1:13" ht="21">
      <c r="A16" s="110"/>
      <c r="B16" s="701"/>
      <c r="C16" s="715"/>
      <c r="D16" s="111" t="s">
        <v>50</v>
      </c>
      <c r="E16" s="111" t="s">
        <v>51</v>
      </c>
      <c r="F16" s="111" t="s">
        <v>52</v>
      </c>
      <c r="G16" s="112" t="s">
        <v>53</v>
      </c>
      <c r="H16" s="701"/>
      <c r="I16" s="701"/>
      <c r="J16" s="701"/>
      <c r="K16" s="701"/>
      <c r="L16" s="701"/>
    </row>
    <row r="17" spans="2:12" s="117" customFormat="1" ht="16.5" customHeight="1" outlineLevel="1">
      <c r="B17" s="113">
        <v>1</v>
      </c>
      <c r="C17" s="114" t="s">
        <v>54</v>
      </c>
      <c r="D17" s="115"/>
      <c r="E17" s="115"/>
      <c r="F17" s="115"/>
      <c r="G17" s="115"/>
      <c r="H17" s="115" t="s">
        <v>3</v>
      </c>
      <c r="I17" s="115" t="s">
        <v>55</v>
      </c>
      <c r="J17" s="115" t="s">
        <v>59</v>
      </c>
      <c r="K17" s="115" t="s">
        <v>60</v>
      </c>
      <c r="L17" s="116" t="s">
        <v>910</v>
      </c>
    </row>
    <row r="18" spans="2:12" s="117" customFormat="1" ht="16.5" customHeight="1" outlineLevel="1">
      <c r="B18" s="113">
        <v>2</v>
      </c>
      <c r="C18" s="118" t="s">
        <v>56</v>
      </c>
      <c r="D18" s="119"/>
      <c r="E18" s="119"/>
      <c r="F18" s="119"/>
      <c r="G18" s="119"/>
      <c r="H18" s="119" t="s">
        <v>3</v>
      </c>
      <c r="I18" s="119" t="s">
        <v>55</v>
      </c>
      <c r="J18" s="119" t="s">
        <v>59</v>
      </c>
      <c r="K18" s="119" t="s">
        <v>60</v>
      </c>
      <c r="L18" s="120" t="s">
        <v>910</v>
      </c>
    </row>
    <row r="19" spans="2:12" s="117" customFormat="1" ht="16.5" customHeight="1" outlineLevel="1">
      <c r="B19" s="113">
        <v>3</v>
      </c>
      <c r="C19" s="114" t="s">
        <v>339</v>
      </c>
      <c r="D19" s="115">
        <v>0.10235409678176305</v>
      </c>
      <c r="E19" s="115">
        <v>0.36359999999999998</v>
      </c>
      <c r="F19" s="115">
        <v>0.62484590321823696</v>
      </c>
      <c r="G19" s="115">
        <v>8.7081967739412305E-2</v>
      </c>
      <c r="H19" s="115" t="s">
        <v>57</v>
      </c>
      <c r="I19" s="115" t="s">
        <v>58</v>
      </c>
      <c r="J19" s="115" t="s">
        <v>59</v>
      </c>
      <c r="K19" s="115" t="s">
        <v>60</v>
      </c>
      <c r="L19" s="116" t="s">
        <v>340</v>
      </c>
    </row>
    <row r="20" spans="2:12" s="117" customFormat="1" ht="16.5" customHeight="1" outlineLevel="1">
      <c r="B20" s="113">
        <v>4</v>
      </c>
      <c r="C20" s="118" t="s">
        <v>341</v>
      </c>
      <c r="D20" s="119">
        <v>-0.1</v>
      </c>
      <c r="E20" s="119">
        <v>2.0021503262632877E-2</v>
      </c>
      <c r="F20" s="119">
        <v>0.1</v>
      </c>
      <c r="G20" s="119">
        <v>4.6538744531850536E-2</v>
      </c>
      <c r="H20" s="119" t="s">
        <v>61</v>
      </c>
      <c r="I20" s="119" t="s">
        <v>58</v>
      </c>
      <c r="J20" s="119" t="s">
        <v>59</v>
      </c>
      <c r="K20" s="119" t="s">
        <v>62</v>
      </c>
      <c r="L20" s="120" t="s">
        <v>340</v>
      </c>
    </row>
    <row r="21" spans="2:12" s="117" customFormat="1" ht="16.5" customHeight="1" outlineLevel="1">
      <c r="B21" s="113">
        <v>5</v>
      </c>
      <c r="C21" s="114" t="s">
        <v>342</v>
      </c>
      <c r="D21" s="115">
        <v>0</v>
      </c>
      <c r="E21" s="115">
        <v>0.3075</v>
      </c>
      <c r="F21" s="115">
        <v>0.65469999999999995</v>
      </c>
      <c r="G21" s="115">
        <v>0.11575100000000001</v>
      </c>
      <c r="H21" s="115" t="s">
        <v>63</v>
      </c>
      <c r="I21" s="115" t="s">
        <v>58</v>
      </c>
      <c r="J21" s="115" t="s">
        <v>59</v>
      </c>
      <c r="K21" s="115" t="s">
        <v>64</v>
      </c>
      <c r="L21" s="116" t="s">
        <v>340</v>
      </c>
    </row>
    <row r="22" spans="2:12" s="117" customFormat="1" ht="16.5" customHeight="1" outlineLevel="1">
      <c r="B22" s="113">
        <v>6</v>
      </c>
      <c r="C22" s="118" t="s">
        <v>343</v>
      </c>
      <c r="D22" s="119">
        <v>9.6769999999999995E-2</v>
      </c>
      <c r="E22" s="119">
        <v>0.215164032619341</v>
      </c>
      <c r="F22" s="119">
        <v>0.43130000000000002</v>
      </c>
      <c r="G22" s="119">
        <v>7.20294589126768E-2</v>
      </c>
      <c r="H22" s="119" t="s">
        <v>65</v>
      </c>
      <c r="I22" s="119" t="s">
        <v>58</v>
      </c>
      <c r="J22" s="119" t="s">
        <v>59</v>
      </c>
      <c r="K22" s="119" t="s">
        <v>66</v>
      </c>
      <c r="L22" s="120" t="s">
        <v>340</v>
      </c>
    </row>
    <row r="23" spans="2:12" s="117" customFormat="1" ht="16.5" customHeight="1" outlineLevel="1">
      <c r="B23" s="113">
        <v>7</v>
      </c>
      <c r="C23" s="114" t="s">
        <v>344</v>
      </c>
      <c r="D23" s="115">
        <v>1.299E-2</v>
      </c>
      <c r="E23" s="115">
        <v>0.18801776963787001</v>
      </c>
      <c r="F23" s="115">
        <v>0.50719999999999998</v>
      </c>
      <c r="G23" s="115">
        <v>0.106406043343458</v>
      </c>
      <c r="H23" s="115" t="s">
        <v>65</v>
      </c>
      <c r="I23" s="115" t="s">
        <v>58</v>
      </c>
      <c r="J23" s="115" t="s">
        <v>59</v>
      </c>
      <c r="K23" s="115" t="s">
        <v>66</v>
      </c>
      <c r="L23" s="116" t="s">
        <v>340</v>
      </c>
    </row>
    <row r="24" spans="2:12" s="117" customFormat="1" ht="16.5" customHeight="1" outlineLevel="1">
      <c r="B24" s="113">
        <v>8</v>
      </c>
      <c r="C24" s="118" t="s">
        <v>345</v>
      </c>
      <c r="D24" s="119">
        <v>0</v>
      </c>
      <c r="E24" s="119">
        <v>0.55000000000000004</v>
      </c>
      <c r="F24" s="119">
        <v>1.4930624150833844</v>
      </c>
      <c r="G24" s="119">
        <v>0.31435413836112813</v>
      </c>
      <c r="H24" s="119" t="s">
        <v>67</v>
      </c>
      <c r="I24" s="119" t="s">
        <v>58</v>
      </c>
      <c r="J24" s="119" t="s">
        <v>59</v>
      </c>
      <c r="K24" s="119" t="s">
        <v>68</v>
      </c>
      <c r="L24" s="120" t="s">
        <v>340</v>
      </c>
    </row>
    <row r="25" spans="2:12" s="117" customFormat="1" ht="16.5" customHeight="1" outlineLevel="1">
      <c r="B25" s="113">
        <v>9</v>
      </c>
      <c r="C25" s="114" t="s">
        <v>346</v>
      </c>
      <c r="D25" s="115">
        <v>0</v>
      </c>
      <c r="E25" s="115">
        <v>0.41249999999999998</v>
      </c>
      <c r="F25" s="115">
        <v>1.0118849590339716</v>
      </c>
      <c r="G25" s="115">
        <v>0.19979498634465714</v>
      </c>
      <c r="H25" s="115" t="s">
        <v>67</v>
      </c>
      <c r="I25" s="115" t="s">
        <v>58</v>
      </c>
      <c r="J25" s="115" t="s">
        <v>59</v>
      </c>
      <c r="K25" s="115" t="s">
        <v>68</v>
      </c>
      <c r="L25" s="116" t="s">
        <v>340</v>
      </c>
    </row>
    <row r="26" spans="2:12" s="117" customFormat="1" ht="16.5" customHeight="1" outlineLevel="1">
      <c r="B26" s="113">
        <v>10</v>
      </c>
      <c r="C26" s="118" t="s">
        <v>347</v>
      </c>
      <c r="D26" s="119"/>
      <c r="E26" s="119"/>
      <c r="F26" s="119"/>
      <c r="G26" s="119"/>
      <c r="H26" s="119" t="s">
        <v>3</v>
      </c>
      <c r="I26" s="119" t="s">
        <v>55</v>
      </c>
      <c r="J26" s="119"/>
      <c r="K26" s="119" t="s">
        <v>891</v>
      </c>
      <c r="L26" s="120" t="s">
        <v>911</v>
      </c>
    </row>
    <row r="27" spans="2:12" s="117" customFormat="1" ht="16.5" customHeight="1" outlineLevel="1">
      <c r="B27" s="113">
        <v>11</v>
      </c>
      <c r="C27" s="114" t="s">
        <v>348</v>
      </c>
      <c r="D27" s="115"/>
      <c r="E27" s="115"/>
      <c r="F27" s="115"/>
      <c r="G27" s="115"/>
      <c r="H27" s="115" t="s">
        <v>3</v>
      </c>
      <c r="I27" s="115" t="s">
        <v>55</v>
      </c>
      <c r="J27" s="115"/>
      <c r="K27" s="115" t="s">
        <v>891</v>
      </c>
      <c r="L27" s="116" t="s">
        <v>911</v>
      </c>
    </row>
    <row r="28" spans="2:12" s="117" customFormat="1" ht="16.5" customHeight="1" outlineLevel="1">
      <c r="B28" s="113">
        <v>12</v>
      </c>
      <c r="C28" s="118" t="s">
        <v>349</v>
      </c>
      <c r="D28" s="119">
        <v>0</v>
      </c>
      <c r="E28" s="119">
        <v>0.28660000000000002</v>
      </c>
      <c r="F28" s="119">
        <v>0.61099999999999999</v>
      </c>
      <c r="G28" s="119">
        <v>0.10815602836879434</v>
      </c>
      <c r="H28" s="119" t="s">
        <v>63</v>
      </c>
      <c r="I28" s="119" t="s">
        <v>58</v>
      </c>
      <c r="J28" s="119" t="s">
        <v>59</v>
      </c>
      <c r="K28" s="119" t="s">
        <v>69</v>
      </c>
      <c r="L28" s="120" t="s">
        <v>340</v>
      </c>
    </row>
    <row r="29" spans="2:12" s="117" customFormat="1" ht="16.5" customHeight="1" outlineLevel="1">
      <c r="B29" s="113">
        <v>13</v>
      </c>
      <c r="C29" s="114" t="s">
        <v>350</v>
      </c>
      <c r="D29" s="115">
        <v>0</v>
      </c>
      <c r="E29" s="115">
        <v>0.124400925007961</v>
      </c>
      <c r="F29" s="115">
        <v>0.39319999999999999</v>
      </c>
      <c r="G29" s="115">
        <v>8.9607637085624733E-2</v>
      </c>
      <c r="H29" s="115" t="s">
        <v>65</v>
      </c>
      <c r="I29" s="115" t="s">
        <v>58</v>
      </c>
      <c r="J29" s="115" t="s">
        <v>59</v>
      </c>
      <c r="K29" s="115" t="s">
        <v>70</v>
      </c>
      <c r="L29" s="116" t="s">
        <v>340</v>
      </c>
    </row>
    <row r="30" spans="2:12" s="117" customFormat="1" ht="16.5" customHeight="1" outlineLevel="1">
      <c r="B30" s="113">
        <v>14</v>
      </c>
      <c r="C30" s="118" t="s">
        <v>351</v>
      </c>
      <c r="D30" s="119">
        <v>0</v>
      </c>
      <c r="E30" s="119">
        <v>3.1376500000000002E-2</v>
      </c>
      <c r="F30" s="119">
        <v>7.4759999999999993E-2</v>
      </c>
      <c r="G30" s="119">
        <v>1.4461399999999999E-2</v>
      </c>
      <c r="H30" s="119" t="s">
        <v>65</v>
      </c>
      <c r="I30" s="119" t="s">
        <v>58</v>
      </c>
      <c r="J30" s="119" t="s">
        <v>59</v>
      </c>
      <c r="K30" s="119" t="s">
        <v>71</v>
      </c>
      <c r="L30" s="120" t="s">
        <v>340</v>
      </c>
    </row>
    <row r="31" spans="2:12" s="117" customFormat="1" ht="16.5" customHeight="1" outlineLevel="1">
      <c r="B31" s="113">
        <v>15</v>
      </c>
      <c r="C31" s="114" t="s">
        <v>352</v>
      </c>
      <c r="D31" s="115">
        <v>1.5E-3</v>
      </c>
      <c r="E31" s="115">
        <v>0.34710524803163401</v>
      </c>
      <c r="F31" s="115">
        <v>0.69269999999999998</v>
      </c>
      <c r="G31" s="115">
        <v>0.11520445569136081</v>
      </c>
      <c r="H31" s="115" t="s">
        <v>67</v>
      </c>
      <c r="I31" s="115" t="s">
        <v>58</v>
      </c>
      <c r="J31" s="115" t="s">
        <v>59</v>
      </c>
      <c r="K31" s="115" t="s">
        <v>70</v>
      </c>
      <c r="L31" s="116" t="s">
        <v>340</v>
      </c>
    </row>
    <row r="32" spans="2:12" s="117" customFormat="1" ht="16.5" customHeight="1" outlineLevel="1">
      <c r="B32" s="113">
        <v>16</v>
      </c>
      <c r="C32" s="118" t="s">
        <v>353</v>
      </c>
      <c r="D32" s="119"/>
      <c r="E32" s="119"/>
      <c r="F32" s="119"/>
      <c r="G32" s="119"/>
      <c r="H32" s="119" t="s">
        <v>61</v>
      </c>
      <c r="I32" s="119" t="s">
        <v>58</v>
      </c>
      <c r="J32" s="119" t="s">
        <v>59</v>
      </c>
      <c r="K32" s="119" t="s">
        <v>72</v>
      </c>
      <c r="L32" s="120" t="s">
        <v>340</v>
      </c>
    </row>
    <row r="33" spans="2:12" s="117" customFormat="1" ht="16.5" customHeight="1" outlineLevel="1">
      <c r="B33" s="113">
        <v>17</v>
      </c>
      <c r="C33" s="114" t="s">
        <v>354</v>
      </c>
      <c r="D33" s="115">
        <v>0</v>
      </c>
      <c r="E33" s="115">
        <v>9.2985351752694304E-2</v>
      </c>
      <c r="F33" s="115">
        <v>0.26290000000000002</v>
      </c>
      <c r="G33" s="115">
        <v>5.6648173350114975E-2</v>
      </c>
      <c r="H33" s="115" t="s">
        <v>65</v>
      </c>
      <c r="I33" s="115" t="s">
        <v>58</v>
      </c>
      <c r="J33" s="115" t="s">
        <v>59</v>
      </c>
      <c r="K33" s="115" t="s">
        <v>70</v>
      </c>
      <c r="L33" s="116" t="s">
        <v>340</v>
      </c>
    </row>
    <row r="34" spans="2:12" s="117" customFormat="1" ht="16.5" customHeight="1" outlineLevel="1">
      <c r="B34" s="113">
        <v>18</v>
      </c>
      <c r="C34" s="118" t="s">
        <v>355</v>
      </c>
      <c r="D34" s="119">
        <v>0</v>
      </c>
      <c r="E34" s="119">
        <v>3.1376500000000002E-2</v>
      </c>
      <c r="F34" s="119">
        <v>7.4759999999999993E-2</v>
      </c>
      <c r="G34" s="119">
        <v>1.4461399999999999E-2</v>
      </c>
      <c r="H34" s="119" t="s">
        <v>65</v>
      </c>
      <c r="I34" s="119" t="s">
        <v>58</v>
      </c>
      <c r="J34" s="119" t="s">
        <v>59</v>
      </c>
      <c r="K34" s="119" t="s">
        <v>71</v>
      </c>
      <c r="L34" s="120" t="s">
        <v>340</v>
      </c>
    </row>
    <row r="35" spans="2:12" s="117" customFormat="1" ht="16.5" customHeight="1" outlineLevel="1">
      <c r="B35" s="113">
        <v>19</v>
      </c>
      <c r="C35" s="114" t="s">
        <v>356</v>
      </c>
      <c r="D35" s="115">
        <v>0</v>
      </c>
      <c r="E35" s="115">
        <v>0.31146357242357398</v>
      </c>
      <c r="F35" s="115">
        <v>0.63570000000000004</v>
      </c>
      <c r="G35" s="115">
        <v>0.10809315947118844</v>
      </c>
      <c r="H35" s="115" t="s">
        <v>67</v>
      </c>
      <c r="I35" s="115" t="s">
        <v>58</v>
      </c>
      <c r="J35" s="115" t="s">
        <v>59</v>
      </c>
      <c r="K35" s="115" t="s">
        <v>70</v>
      </c>
      <c r="L35" s="116" t="s">
        <v>340</v>
      </c>
    </row>
    <row r="36" spans="2:12" s="117" customFormat="1" ht="16.5" customHeight="1" outlineLevel="1">
      <c r="B36" s="113">
        <v>20</v>
      </c>
      <c r="C36" s="118" t="s">
        <v>357</v>
      </c>
      <c r="D36" s="119"/>
      <c r="E36" s="119"/>
      <c r="F36" s="119"/>
      <c r="G36" s="119"/>
      <c r="H36" s="119" t="s">
        <v>61</v>
      </c>
      <c r="I36" s="119" t="s">
        <v>58</v>
      </c>
      <c r="J36" s="119" t="s">
        <v>59</v>
      </c>
      <c r="K36" s="119" t="s">
        <v>72</v>
      </c>
      <c r="L36" s="120" t="s">
        <v>340</v>
      </c>
    </row>
    <row r="37" spans="2:12" s="117" customFormat="1" ht="16.5" customHeight="1" outlineLevel="1">
      <c r="B37" s="113">
        <v>21</v>
      </c>
      <c r="C37" s="114" t="s">
        <v>358</v>
      </c>
      <c r="D37" s="115">
        <v>0</v>
      </c>
      <c r="E37" s="115">
        <v>7.2628867067143596E-2</v>
      </c>
      <c r="F37" s="115">
        <v>0.2311</v>
      </c>
      <c r="G37" s="115">
        <v>5.2815204475482026E-2</v>
      </c>
      <c r="H37" s="115" t="s">
        <v>65</v>
      </c>
      <c r="I37" s="115" t="s">
        <v>58</v>
      </c>
      <c r="J37" s="115" t="s">
        <v>59</v>
      </c>
      <c r="K37" s="115" t="s">
        <v>70</v>
      </c>
      <c r="L37" s="116" t="s">
        <v>340</v>
      </c>
    </row>
    <row r="38" spans="2:12" s="117" customFormat="1" ht="16.5" customHeight="1" outlineLevel="1">
      <c r="B38" s="113">
        <v>22</v>
      </c>
      <c r="C38" s="118" t="s">
        <v>359</v>
      </c>
      <c r="D38" s="119">
        <v>0</v>
      </c>
      <c r="E38" s="119">
        <v>3.1376500000000002E-2</v>
      </c>
      <c r="F38" s="119">
        <v>7.4759999999999993E-2</v>
      </c>
      <c r="G38" s="119">
        <v>1.4461399999999999E-2</v>
      </c>
      <c r="H38" s="119" t="s">
        <v>65</v>
      </c>
      <c r="I38" s="119" t="s">
        <v>58</v>
      </c>
      <c r="J38" s="119" t="s">
        <v>59</v>
      </c>
      <c r="K38" s="119" t="s">
        <v>71</v>
      </c>
      <c r="L38" s="120" t="s">
        <v>340</v>
      </c>
    </row>
    <row r="39" spans="2:12" s="117" customFormat="1" ht="16.5" customHeight="1" outlineLevel="1">
      <c r="B39" s="113">
        <v>23</v>
      </c>
      <c r="C39" s="114" t="s">
        <v>360</v>
      </c>
      <c r="D39" s="115">
        <v>0</v>
      </c>
      <c r="E39" s="115">
        <v>0.23172338290743699</v>
      </c>
      <c r="F39" s="115">
        <v>0.47870000000000001</v>
      </c>
      <c r="G39" s="115">
        <v>8.2337523183394795E-2</v>
      </c>
      <c r="H39" s="115" t="s">
        <v>67</v>
      </c>
      <c r="I39" s="115" t="s">
        <v>58</v>
      </c>
      <c r="J39" s="115" t="s">
        <v>59</v>
      </c>
      <c r="K39" s="115" t="s">
        <v>70</v>
      </c>
      <c r="L39" s="116" t="s">
        <v>340</v>
      </c>
    </row>
    <row r="40" spans="2:12" s="117" customFormat="1" ht="16.5" customHeight="1" outlineLevel="1">
      <c r="B40" s="113">
        <v>24</v>
      </c>
      <c r="C40" s="118" t="s">
        <v>361</v>
      </c>
      <c r="D40" s="119"/>
      <c r="E40" s="119"/>
      <c r="F40" s="119"/>
      <c r="G40" s="119"/>
      <c r="H40" s="119"/>
      <c r="I40" s="119" t="s">
        <v>55</v>
      </c>
      <c r="J40" s="119"/>
      <c r="K40" s="119" t="s">
        <v>892</v>
      </c>
      <c r="L40" s="120" t="s">
        <v>340</v>
      </c>
    </row>
    <row r="41" spans="2:12" s="117" customFormat="1" ht="16.5" customHeight="1" outlineLevel="1">
      <c r="B41" s="113">
        <v>25</v>
      </c>
      <c r="C41" s="114" t="s">
        <v>362</v>
      </c>
      <c r="D41" s="115">
        <v>0</v>
      </c>
      <c r="E41" s="115">
        <v>0.23330000000000001</v>
      </c>
      <c r="F41" s="115">
        <v>0.71309999999999996</v>
      </c>
      <c r="G41" s="115">
        <v>0.15992907801418443</v>
      </c>
      <c r="H41" s="115" t="s">
        <v>63</v>
      </c>
      <c r="I41" s="115" t="s">
        <v>58</v>
      </c>
      <c r="J41" s="115"/>
      <c r="K41" s="115" t="s">
        <v>73</v>
      </c>
      <c r="L41" s="116" t="s">
        <v>340</v>
      </c>
    </row>
    <row r="42" spans="2:12" s="117" customFormat="1" ht="16.5" customHeight="1" outlineLevel="1">
      <c r="B42" s="113">
        <v>26</v>
      </c>
      <c r="C42" s="118" t="s">
        <v>363</v>
      </c>
      <c r="D42" s="119"/>
      <c r="E42" s="119"/>
      <c r="F42" s="119"/>
      <c r="G42" s="119"/>
      <c r="H42" s="119" t="s">
        <v>65</v>
      </c>
      <c r="I42" s="119" t="s">
        <v>58</v>
      </c>
      <c r="J42" s="119" t="s">
        <v>59</v>
      </c>
      <c r="K42" s="119" t="s">
        <v>74</v>
      </c>
      <c r="L42" s="120" t="s">
        <v>340</v>
      </c>
    </row>
    <row r="43" spans="2:12" s="117" customFormat="1" ht="16.5" customHeight="1" outlineLevel="1">
      <c r="B43" s="113">
        <v>27</v>
      </c>
      <c r="C43" s="114" t="s">
        <v>364</v>
      </c>
      <c r="D43" s="115">
        <v>0</v>
      </c>
      <c r="E43" s="115">
        <v>0.10050000000000001</v>
      </c>
      <c r="F43" s="115">
        <v>0.36840000000000001</v>
      </c>
      <c r="G43" s="115">
        <v>8.9316813780755733E-2</v>
      </c>
      <c r="H43" s="115" t="s">
        <v>65</v>
      </c>
      <c r="I43" s="115" t="s">
        <v>58</v>
      </c>
      <c r="J43" s="115" t="s">
        <v>59</v>
      </c>
      <c r="K43" s="115" t="s">
        <v>75</v>
      </c>
      <c r="L43" s="116" t="s">
        <v>340</v>
      </c>
    </row>
    <row r="44" spans="2:12" s="117" customFormat="1" ht="16.5" customHeight="1" outlineLevel="1">
      <c r="B44" s="113">
        <v>28</v>
      </c>
      <c r="C44" s="118" t="s">
        <v>365</v>
      </c>
      <c r="D44" s="119"/>
      <c r="E44" s="119"/>
      <c r="F44" s="119"/>
      <c r="G44" s="119"/>
      <c r="H44" s="119" t="s">
        <v>67</v>
      </c>
      <c r="I44" s="119" t="s">
        <v>58</v>
      </c>
      <c r="J44" s="119" t="s">
        <v>59</v>
      </c>
      <c r="K44" s="119" t="s">
        <v>74</v>
      </c>
      <c r="L44" s="120" t="s">
        <v>911</v>
      </c>
    </row>
    <row r="45" spans="2:12" s="117" customFormat="1" ht="16.5" customHeight="1" outlineLevel="1">
      <c r="B45" s="113">
        <v>29</v>
      </c>
      <c r="C45" s="114" t="s">
        <v>366</v>
      </c>
      <c r="D45" s="115"/>
      <c r="E45" s="115"/>
      <c r="F45" s="115"/>
      <c r="G45" s="115"/>
      <c r="H45" s="115" t="s">
        <v>61</v>
      </c>
      <c r="I45" s="115" t="s">
        <v>58</v>
      </c>
      <c r="J45" s="115" t="s">
        <v>59</v>
      </c>
      <c r="K45" s="115" t="s">
        <v>75</v>
      </c>
      <c r="L45" s="116" t="s">
        <v>911</v>
      </c>
    </row>
    <row r="46" spans="2:12" s="117" customFormat="1" ht="16.5" customHeight="1" outlineLevel="1">
      <c r="B46" s="113">
        <v>30</v>
      </c>
      <c r="C46" s="118" t="s">
        <v>367</v>
      </c>
      <c r="D46" s="119"/>
      <c r="E46" s="119"/>
      <c r="F46" s="119"/>
      <c r="G46" s="119"/>
      <c r="H46" s="119" t="s">
        <v>76</v>
      </c>
      <c r="I46" s="119" t="s">
        <v>58</v>
      </c>
      <c r="J46" s="119" t="s">
        <v>59</v>
      </c>
      <c r="K46" s="119" t="s">
        <v>77</v>
      </c>
      <c r="L46" s="120" t="s">
        <v>911</v>
      </c>
    </row>
    <row r="47" spans="2:12" s="117" customFormat="1" ht="16.5" customHeight="1" outlineLevel="1">
      <c r="B47" s="113">
        <v>31</v>
      </c>
      <c r="C47" s="114" t="s">
        <v>368</v>
      </c>
      <c r="D47" s="115">
        <v>0</v>
      </c>
      <c r="E47" s="115">
        <v>0.280379815142625</v>
      </c>
      <c r="F47" s="115">
        <v>0.64449999999999996</v>
      </c>
      <c r="G47" s="115">
        <v>0.121371383321589</v>
      </c>
      <c r="H47" s="115" t="s">
        <v>65</v>
      </c>
      <c r="I47" s="115" t="s">
        <v>58</v>
      </c>
      <c r="J47" s="115" t="s">
        <v>59</v>
      </c>
      <c r="K47" s="115" t="s">
        <v>74</v>
      </c>
      <c r="L47" s="116" t="s">
        <v>340</v>
      </c>
    </row>
    <row r="48" spans="2:12" s="117" customFormat="1" ht="16.5" customHeight="1" outlineLevel="1">
      <c r="B48" s="113">
        <v>32</v>
      </c>
      <c r="C48" s="118" t="s">
        <v>369</v>
      </c>
      <c r="D48" s="119">
        <v>0</v>
      </c>
      <c r="E48" s="119">
        <v>0.10050000000000001</v>
      </c>
      <c r="F48" s="119">
        <v>0.36840000000000001</v>
      </c>
      <c r="G48" s="119">
        <v>8.9316813780755733E-2</v>
      </c>
      <c r="H48" s="119" t="s">
        <v>65</v>
      </c>
      <c r="I48" s="119" t="s">
        <v>58</v>
      </c>
      <c r="J48" s="119" t="s">
        <v>59</v>
      </c>
      <c r="K48" s="119" t="s">
        <v>75</v>
      </c>
      <c r="L48" s="120" t="s">
        <v>340</v>
      </c>
    </row>
    <row r="49" spans="2:12" s="117" customFormat="1" ht="16.5" customHeight="1" outlineLevel="1">
      <c r="B49" s="113">
        <v>33</v>
      </c>
      <c r="C49" s="114" t="s">
        <v>370</v>
      </c>
      <c r="D49" s="115">
        <v>7.9474874860600009E-2</v>
      </c>
      <c r="E49" s="115">
        <v>0.96250000000000002</v>
      </c>
      <c r="F49" s="115">
        <v>1.8455251251394</v>
      </c>
      <c r="G49" s="115">
        <v>0.2943417083798</v>
      </c>
      <c r="H49" s="115" t="s">
        <v>67</v>
      </c>
      <c r="I49" s="115" t="s">
        <v>58</v>
      </c>
      <c r="J49" s="115" t="s">
        <v>59</v>
      </c>
      <c r="K49" s="115" t="s">
        <v>74</v>
      </c>
      <c r="L49" s="116" t="s">
        <v>340</v>
      </c>
    </row>
    <row r="50" spans="2:12" s="117" customFormat="1" ht="16.5" customHeight="1" outlineLevel="1">
      <c r="B50" s="113">
        <v>34</v>
      </c>
      <c r="C50" s="118" t="s">
        <v>371</v>
      </c>
      <c r="D50" s="119">
        <v>-0.2</v>
      </c>
      <c r="E50" s="119">
        <v>5.7174052416665583E-3</v>
      </c>
      <c r="F50" s="119">
        <v>0.2</v>
      </c>
      <c r="G50" s="119">
        <v>9.1775612479415625E-2</v>
      </c>
      <c r="H50" s="119" t="s">
        <v>61</v>
      </c>
      <c r="I50" s="119" t="s">
        <v>58</v>
      </c>
      <c r="J50" s="119" t="s">
        <v>59</v>
      </c>
      <c r="K50" s="119" t="s">
        <v>75</v>
      </c>
      <c r="L50" s="120" t="s">
        <v>340</v>
      </c>
    </row>
    <row r="51" spans="2:12" s="117" customFormat="1" ht="16.5" customHeight="1" outlineLevel="1">
      <c r="B51" s="113">
        <v>35</v>
      </c>
      <c r="C51" s="114" t="s">
        <v>372</v>
      </c>
      <c r="D51" s="115">
        <v>0</v>
      </c>
      <c r="E51" s="115">
        <v>0.3</v>
      </c>
      <c r="F51" s="115">
        <v>0.65790273556231016</v>
      </c>
      <c r="G51" s="115">
        <v>0.11930091185410337</v>
      </c>
      <c r="H51" s="115" t="s">
        <v>76</v>
      </c>
      <c r="I51" s="115" t="s">
        <v>58</v>
      </c>
      <c r="J51" s="115" t="s">
        <v>59</v>
      </c>
      <c r="K51" s="115" t="s">
        <v>78</v>
      </c>
      <c r="L51" s="116" t="s">
        <v>340</v>
      </c>
    </row>
    <row r="52" spans="2:12" s="117" customFormat="1" ht="16.5" customHeight="1" outlineLevel="1">
      <c r="B52" s="113">
        <v>36</v>
      </c>
      <c r="C52" s="118" t="s">
        <v>373</v>
      </c>
      <c r="D52" s="119">
        <v>0</v>
      </c>
      <c r="E52" s="119">
        <v>0.22950131882296601</v>
      </c>
      <c r="F52" s="119">
        <v>0.51129999999999998</v>
      </c>
      <c r="G52" s="119">
        <v>9.3920163044861393E-2</v>
      </c>
      <c r="H52" s="119" t="s">
        <v>65</v>
      </c>
      <c r="I52" s="119" t="s">
        <v>58</v>
      </c>
      <c r="J52" s="119" t="s">
        <v>59</v>
      </c>
      <c r="K52" s="119" t="s">
        <v>74</v>
      </c>
      <c r="L52" s="120" t="s">
        <v>340</v>
      </c>
    </row>
    <row r="53" spans="2:12" s="117" customFormat="1" ht="16.5" customHeight="1" outlineLevel="1">
      <c r="B53" s="113">
        <v>37</v>
      </c>
      <c r="C53" s="114" t="s">
        <v>374</v>
      </c>
      <c r="D53" s="115">
        <v>0</v>
      </c>
      <c r="E53" s="115">
        <v>0.10050000000000001</v>
      </c>
      <c r="F53" s="115">
        <v>0.36840000000000001</v>
      </c>
      <c r="G53" s="115">
        <v>8.9316813780755733E-2</v>
      </c>
      <c r="H53" s="115" t="s">
        <v>65</v>
      </c>
      <c r="I53" s="115" t="s">
        <v>55</v>
      </c>
      <c r="J53" s="115" t="s">
        <v>59</v>
      </c>
      <c r="K53" s="115" t="s">
        <v>75</v>
      </c>
      <c r="L53" s="116" t="s">
        <v>340</v>
      </c>
    </row>
    <row r="54" spans="2:12" s="117" customFormat="1" ht="16.5" customHeight="1" outlineLevel="1">
      <c r="B54" s="113">
        <v>38</v>
      </c>
      <c r="C54" s="118" t="s">
        <v>375</v>
      </c>
      <c r="D54" s="119">
        <v>7.7918220640916913E-2</v>
      </c>
      <c r="E54" s="119">
        <v>0.82499999999999996</v>
      </c>
      <c r="F54" s="119">
        <v>1.5720817793590829</v>
      </c>
      <c r="G54" s="119">
        <v>0.249027259786361</v>
      </c>
      <c r="H54" s="119" t="s">
        <v>67</v>
      </c>
      <c r="I54" s="119" t="s">
        <v>55</v>
      </c>
      <c r="J54" s="119" t="s">
        <v>59</v>
      </c>
      <c r="K54" s="119" t="s">
        <v>74</v>
      </c>
      <c r="L54" s="120" t="s">
        <v>340</v>
      </c>
    </row>
    <row r="55" spans="2:12" s="117" customFormat="1" ht="16.5" customHeight="1" outlineLevel="1">
      <c r="B55" s="113">
        <v>39</v>
      </c>
      <c r="C55" s="114" t="s">
        <v>376</v>
      </c>
      <c r="D55" s="115">
        <v>0</v>
      </c>
      <c r="E55" s="115">
        <v>0</v>
      </c>
      <c r="F55" s="115">
        <v>0</v>
      </c>
      <c r="G55" s="115">
        <v>0</v>
      </c>
      <c r="H55" s="115" t="s">
        <v>76</v>
      </c>
      <c r="I55" s="115" t="s">
        <v>58</v>
      </c>
      <c r="J55" s="115" t="s">
        <v>59</v>
      </c>
      <c r="K55" s="115" t="s">
        <v>75</v>
      </c>
      <c r="L55" s="116" t="s">
        <v>340</v>
      </c>
    </row>
    <row r="56" spans="2:12" s="117" customFormat="1" ht="16.5" customHeight="1" outlineLevel="1">
      <c r="B56" s="113">
        <v>40</v>
      </c>
      <c r="C56" s="118" t="s">
        <v>377</v>
      </c>
      <c r="D56" s="119">
        <v>-0.22000000000000003</v>
      </c>
      <c r="E56" s="119">
        <v>0.05</v>
      </c>
      <c r="F56" s="119">
        <v>0.32</v>
      </c>
      <c r="G56" s="119">
        <v>0.09</v>
      </c>
      <c r="H56" s="119" t="s">
        <v>61</v>
      </c>
      <c r="I56" s="119" t="s">
        <v>58</v>
      </c>
      <c r="J56" s="119" t="s">
        <v>59</v>
      </c>
      <c r="K56" s="119" t="s">
        <v>75</v>
      </c>
      <c r="L56" s="120" t="s">
        <v>340</v>
      </c>
    </row>
    <row r="57" spans="2:12" s="117" customFormat="1" ht="16.5" customHeight="1" outlineLevel="1">
      <c r="B57" s="113">
        <v>41</v>
      </c>
      <c r="C57" s="114" t="s">
        <v>378</v>
      </c>
      <c r="D57" s="115">
        <v>0.85313238770683952</v>
      </c>
      <c r="E57" s="115">
        <v>14</v>
      </c>
      <c r="F57" s="115">
        <v>27.14686761229316</v>
      </c>
      <c r="G57" s="115">
        <v>4.3822892040977202</v>
      </c>
      <c r="H57" s="115" t="s">
        <v>79</v>
      </c>
      <c r="I57" s="115" t="s">
        <v>58</v>
      </c>
      <c r="J57" s="115" t="s">
        <v>59</v>
      </c>
      <c r="K57" s="115" t="s">
        <v>75</v>
      </c>
      <c r="L57" s="116" t="s">
        <v>340</v>
      </c>
    </row>
    <row r="58" spans="2:12" s="117" customFormat="1" ht="16.5" customHeight="1" outlineLevel="1">
      <c r="B58" s="113">
        <v>42</v>
      </c>
      <c r="C58" s="118" t="s">
        <v>379</v>
      </c>
      <c r="D58" s="119">
        <v>1.205791962174942</v>
      </c>
      <c r="E58" s="119">
        <v>6</v>
      </c>
      <c r="F58" s="119">
        <v>10.794208037825058</v>
      </c>
      <c r="G58" s="119">
        <v>1.5980693459416861</v>
      </c>
      <c r="H58" s="119" t="s">
        <v>79</v>
      </c>
      <c r="I58" s="119" t="s">
        <v>58</v>
      </c>
      <c r="J58" s="119" t="s">
        <v>59</v>
      </c>
      <c r="K58" s="119" t="s">
        <v>75</v>
      </c>
      <c r="L58" s="120" t="s">
        <v>340</v>
      </c>
    </row>
    <row r="59" spans="2:12" s="117" customFormat="1" ht="16.5" customHeight="1" outlineLevel="1">
      <c r="B59" s="113">
        <v>43</v>
      </c>
      <c r="C59" s="114" t="s">
        <v>380</v>
      </c>
      <c r="D59" s="115">
        <v>0</v>
      </c>
      <c r="E59" s="115">
        <v>4.351E-2</v>
      </c>
      <c r="F59" s="115">
        <v>8.7900000000000006E-2</v>
      </c>
      <c r="G59" s="115">
        <v>1.4784105131414274E-2</v>
      </c>
      <c r="H59" s="115" t="s">
        <v>80</v>
      </c>
      <c r="I59" s="115" t="s">
        <v>58</v>
      </c>
      <c r="J59" s="115" t="s">
        <v>59</v>
      </c>
      <c r="K59" s="115" t="s">
        <v>75</v>
      </c>
      <c r="L59" s="116" t="s">
        <v>340</v>
      </c>
    </row>
    <row r="60" spans="2:12" s="117" customFormat="1" ht="16.5" customHeight="1" outlineLevel="1">
      <c r="B60" s="113">
        <v>44</v>
      </c>
      <c r="C60" s="118" t="s">
        <v>381</v>
      </c>
      <c r="D60" s="119"/>
      <c r="E60" s="119"/>
      <c r="F60" s="119"/>
      <c r="G60" s="119"/>
      <c r="H60" s="119" t="s">
        <v>61</v>
      </c>
      <c r="I60" s="119" t="s">
        <v>55</v>
      </c>
      <c r="J60" s="119" t="s">
        <v>59</v>
      </c>
      <c r="K60" s="119" t="s">
        <v>81</v>
      </c>
      <c r="L60" s="120" t="s">
        <v>911</v>
      </c>
    </row>
    <row r="61" spans="2:12" s="117" customFormat="1" ht="16.5" customHeight="1" outlineLevel="1">
      <c r="B61" s="113">
        <v>45</v>
      </c>
      <c r="C61" s="114" t="s">
        <v>382</v>
      </c>
      <c r="D61" s="115">
        <v>0</v>
      </c>
      <c r="E61" s="115">
        <v>0.233894005943521</v>
      </c>
      <c r="F61" s="115">
        <v>0.69979999999999998</v>
      </c>
      <c r="G61" s="115">
        <v>0.15528689019123171</v>
      </c>
      <c r="H61" s="115" t="s">
        <v>65</v>
      </c>
      <c r="I61" s="115" t="s">
        <v>58</v>
      </c>
      <c r="J61" s="115" t="s">
        <v>59</v>
      </c>
      <c r="K61" s="115" t="s">
        <v>82</v>
      </c>
      <c r="L61" s="116" t="s">
        <v>340</v>
      </c>
    </row>
    <row r="62" spans="2:12" s="117" customFormat="1" ht="16.5" customHeight="1" outlineLevel="1">
      <c r="B62" s="113">
        <v>46</v>
      </c>
      <c r="C62" s="118" t="s">
        <v>383</v>
      </c>
      <c r="D62" s="119">
        <v>0</v>
      </c>
      <c r="E62" s="119">
        <v>0.1128</v>
      </c>
      <c r="F62" s="119">
        <v>0.37109999999999999</v>
      </c>
      <c r="G62" s="119">
        <v>8.6100928028995119E-2</v>
      </c>
      <c r="H62" s="119" t="s">
        <v>65</v>
      </c>
      <c r="I62" s="119" t="s">
        <v>58</v>
      </c>
      <c r="J62" s="119" t="s">
        <v>59</v>
      </c>
      <c r="K62" s="119" t="s">
        <v>83</v>
      </c>
      <c r="L62" s="120" t="s">
        <v>340</v>
      </c>
    </row>
    <row r="63" spans="2:12" s="117" customFormat="1" ht="16.5" customHeight="1" outlineLevel="1">
      <c r="B63" s="113">
        <v>47</v>
      </c>
      <c r="C63" s="114" t="s">
        <v>384</v>
      </c>
      <c r="D63" s="115">
        <v>0.09</v>
      </c>
      <c r="E63" s="115">
        <v>0.80957050162269195</v>
      </c>
      <c r="F63" s="115">
        <v>1.5289999999999999</v>
      </c>
      <c r="G63" s="115">
        <v>0.23988175194838091</v>
      </c>
      <c r="H63" s="115" t="s">
        <v>67</v>
      </c>
      <c r="I63" s="115" t="s">
        <v>55</v>
      </c>
      <c r="J63" s="115" t="s">
        <v>59</v>
      </c>
      <c r="K63" s="115" t="s">
        <v>82</v>
      </c>
      <c r="L63" s="116" t="s">
        <v>340</v>
      </c>
    </row>
    <row r="64" spans="2:12" s="117" customFormat="1" ht="16.5" customHeight="1" outlineLevel="1">
      <c r="B64" s="113">
        <v>48</v>
      </c>
      <c r="C64" s="118" t="s">
        <v>385</v>
      </c>
      <c r="D64" s="119">
        <v>-0.3</v>
      </c>
      <c r="E64" s="119">
        <v>0.11217354440492493</v>
      </c>
      <c r="F64" s="119">
        <v>0.5</v>
      </c>
      <c r="G64" s="119">
        <v>0.1994164571392458</v>
      </c>
      <c r="H64" s="119" t="s">
        <v>61</v>
      </c>
      <c r="I64" s="119" t="s">
        <v>58</v>
      </c>
      <c r="J64" s="119" t="s">
        <v>59</v>
      </c>
      <c r="K64" s="119" t="s">
        <v>83</v>
      </c>
      <c r="L64" s="120" t="s">
        <v>340</v>
      </c>
    </row>
    <row r="65" spans="2:12" s="117" customFormat="1" ht="16.5" customHeight="1" outlineLevel="1">
      <c r="B65" s="113">
        <v>49</v>
      </c>
      <c r="C65" s="114" t="s">
        <v>386</v>
      </c>
      <c r="D65" s="115">
        <v>1.1736444749485098</v>
      </c>
      <c r="E65" s="115">
        <v>5</v>
      </c>
      <c r="F65" s="115">
        <v>8.8263555250514898</v>
      </c>
      <c r="G65" s="115">
        <v>1.2754518416838301</v>
      </c>
      <c r="H65" s="115" t="s">
        <v>84</v>
      </c>
      <c r="I65" s="115" t="s">
        <v>58</v>
      </c>
      <c r="J65" s="115" t="s">
        <v>59</v>
      </c>
      <c r="K65" s="115" t="s">
        <v>83</v>
      </c>
      <c r="L65" s="116" t="s">
        <v>340</v>
      </c>
    </row>
    <row r="66" spans="2:12" s="117" customFormat="1" ht="16.5" customHeight="1" outlineLevel="1">
      <c r="B66" s="113">
        <v>50</v>
      </c>
      <c r="C66" s="118" t="s">
        <v>387</v>
      </c>
      <c r="D66" s="119">
        <v>0</v>
      </c>
      <c r="E66" s="119">
        <v>1.9940662502539201</v>
      </c>
      <c r="F66" s="119">
        <v>4.9096347977632044</v>
      </c>
      <c r="G66" s="119">
        <v>0.97185618250309491</v>
      </c>
      <c r="H66" s="119" t="s">
        <v>76</v>
      </c>
      <c r="I66" s="119" t="s">
        <v>58</v>
      </c>
      <c r="J66" s="119" t="s">
        <v>59</v>
      </c>
      <c r="K66" s="119" t="s">
        <v>83</v>
      </c>
      <c r="L66" s="120" t="s">
        <v>340</v>
      </c>
    </row>
    <row r="67" spans="2:12" s="117" customFormat="1" ht="16.5" customHeight="1" outlineLevel="1">
      <c r="B67" s="113">
        <v>51</v>
      </c>
      <c r="C67" s="114" t="s">
        <v>388</v>
      </c>
      <c r="D67" s="115">
        <v>0</v>
      </c>
      <c r="E67" s="115">
        <v>0.14047508817996299</v>
      </c>
      <c r="F67" s="115">
        <v>0.41980000000000001</v>
      </c>
      <c r="G67" s="115">
        <v>9.311106158472994E-2</v>
      </c>
      <c r="H67" s="115" t="s">
        <v>65</v>
      </c>
      <c r="I67" s="115" t="s">
        <v>58</v>
      </c>
      <c r="J67" s="115" t="s">
        <v>59</v>
      </c>
      <c r="K67" s="115" t="s">
        <v>82</v>
      </c>
      <c r="L67" s="116" t="s">
        <v>340</v>
      </c>
    </row>
    <row r="68" spans="2:12" s="117" customFormat="1" ht="16.5" customHeight="1" outlineLevel="1">
      <c r="B68" s="113">
        <v>52</v>
      </c>
      <c r="C68" s="118" t="s">
        <v>389</v>
      </c>
      <c r="D68" s="119">
        <v>0</v>
      </c>
      <c r="E68" s="119">
        <v>0.1128</v>
      </c>
      <c r="F68" s="119">
        <v>0.37109999999999999</v>
      </c>
      <c r="G68" s="119">
        <v>8.6100928028995119E-2</v>
      </c>
      <c r="H68" s="119" t="s">
        <v>65</v>
      </c>
      <c r="I68" s="119" t="s">
        <v>58</v>
      </c>
      <c r="J68" s="119" t="s">
        <v>59</v>
      </c>
      <c r="K68" s="119" t="s">
        <v>83</v>
      </c>
      <c r="L68" s="120" t="s">
        <v>340</v>
      </c>
    </row>
    <row r="69" spans="2:12" s="117" customFormat="1" ht="16.5" customHeight="1" outlineLevel="1">
      <c r="B69" s="113">
        <v>53</v>
      </c>
      <c r="C69" s="114" t="s">
        <v>390</v>
      </c>
      <c r="D69" s="115">
        <v>0</v>
      </c>
      <c r="E69" s="115">
        <v>0.76360486574013098</v>
      </c>
      <c r="F69" s="115">
        <v>1.68</v>
      </c>
      <c r="G69" s="115">
        <v>0.30540033376427095</v>
      </c>
      <c r="H69" s="115" t="s">
        <v>67</v>
      </c>
      <c r="I69" s="115" t="s">
        <v>58</v>
      </c>
      <c r="J69" s="115" t="s">
        <v>59</v>
      </c>
      <c r="K69" s="115" t="s">
        <v>82</v>
      </c>
      <c r="L69" s="116" t="s">
        <v>340</v>
      </c>
    </row>
    <row r="70" spans="2:12" s="117" customFormat="1" ht="16.5" customHeight="1" outlineLevel="1">
      <c r="B70" s="113">
        <v>54</v>
      </c>
      <c r="C70" s="118" t="s">
        <v>391</v>
      </c>
      <c r="D70" s="119">
        <v>-0.31669402026544891</v>
      </c>
      <c r="E70" s="119">
        <v>-1.6694020265448837E-2</v>
      </c>
      <c r="F70" s="119">
        <v>0.28330597973455118</v>
      </c>
      <c r="G70" s="119">
        <v>0.1</v>
      </c>
      <c r="H70" s="119" t="s">
        <v>61</v>
      </c>
      <c r="I70" s="119" t="s">
        <v>58</v>
      </c>
      <c r="J70" s="119" t="s">
        <v>59</v>
      </c>
      <c r="K70" s="119" t="s">
        <v>83</v>
      </c>
      <c r="L70" s="120" t="s">
        <v>340</v>
      </c>
    </row>
    <row r="71" spans="2:12" s="117" customFormat="1" ht="16.5" customHeight="1" outlineLevel="1">
      <c r="B71" s="113">
        <v>55</v>
      </c>
      <c r="C71" s="114" t="s">
        <v>392</v>
      </c>
      <c r="D71" s="115">
        <v>0.31751227495908996</v>
      </c>
      <c r="E71" s="115">
        <v>4</v>
      </c>
      <c r="F71" s="115">
        <v>7.68248772504091</v>
      </c>
      <c r="G71" s="115">
        <v>1.2274959083469701</v>
      </c>
      <c r="H71" s="115" t="s">
        <v>84</v>
      </c>
      <c r="I71" s="115" t="s">
        <v>58</v>
      </c>
      <c r="J71" s="115" t="s">
        <v>59</v>
      </c>
      <c r="K71" s="115" t="s">
        <v>83</v>
      </c>
      <c r="L71" s="116" t="s">
        <v>340</v>
      </c>
    </row>
    <row r="72" spans="2:12" s="117" customFormat="1" ht="16.5" customHeight="1" outlineLevel="1">
      <c r="B72" s="113">
        <v>56</v>
      </c>
      <c r="C72" s="118" t="s">
        <v>393</v>
      </c>
      <c r="D72" s="119">
        <v>0</v>
      </c>
      <c r="E72" s="119">
        <v>0.51202559130476877</v>
      </c>
      <c r="F72" s="119">
        <v>1.4519924669690143</v>
      </c>
      <c r="G72" s="119">
        <v>0.31332229188808186</v>
      </c>
      <c r="H72" s="119" t="s">
        <v>76</v>
      </c>
      <c r="I72" s="119" t="s">
        <v>58</v>
      </c>
      <c r="J72" s="119" t="s">
        <v>59</v>
      </c>
      <c r="K72" s="119" t="s">
        <v>83</v>
      </c>
      <c r="L72" s="120" t="s">
        <v>340</v>
      </c>
    </row>
    <row r="73" spans="2:12" s="117" customFormat="1" ht="16.5" customHeight="1" outlineLevel="1">
      <c r="B73" s="113">
        <v>57</v>
      </c>
      <c r="C73" s="114" t="s">
        <v>394</v>
      </c>
      <c r="D73" s="115">
        <v>0</v>
      </c>
      <c r="E73" s="115">
        <v>1.2264991651390136</v>
      </c>
      <c r="F73" s="115">
        <f>E73+3*G73</f>
        <v>3.3831686802339065</v>
      </c>
      <c r="G73" s="115">
        <v>0.71888983836496434</v>
      </c>
      <c r="H73" s="115" t="s">
        <v>76</v>
      </c>
      <c r="I73" s="115" t="s">
        <v>58</v>
      </c>
      <c r="J73" s="115" t="s">
        <v>338</v>
      </c>
      <c r="K73" s="115" t="s">
        <v>83</v>
      </c>
      <c r="L73" s="116" t="s">
        <v>890</v>
      </c>
    </row>
    <row r="74" spans="2:12" s="117" customFormat="1" ht="16.5" customHeight="1" outlineLevel="1">
      <c r="B74" s="113">
        <v>58</v>
      </c>
      <c r="C74" s="118" t="s">
        <v>395</v>
      </c>
      <c r="D74" s="119">
        <v>0</v>
      </c>
      <c r="E74" s="119">
        <v>4.8035498618301697E-2</v>
      </c>
      <c r="F74" s="119">
        <v>0.12839999999999999</v>
      </c>
      <c r="G74" s="119">
        <v>2.6792225482916002E-2</v>
      </c>
      <c r="H74" s="119" t="s">
        <v>65</v>
      </c>
      <c r="I74" s="119" t="s">
        <v>58</v>
      </c>
      <c r="J74" s="119" t="s">
        <v>85</v>
      </c>
      <c r="K74" s="119" t="s">
        <v>86</v>
      </c>
      <c r="L74" s="120" t="s">
        <v>340</v>
      </c>
    </row>
    <row r="75" spans="2:12" s="117" customFormat="1" ht="16.5" customHeight="1" outlineLevel="1">
      <c r="B75" s="113">
        <v>59</v>
      </c>
      <c r="C75" s="114" t="s">
        <v>396</v>
      </c>
      <c r="D75" s="115">
        <v>0</v>
      </c>
      <c r="E75" s="115">
        <v>1.7184660888422271E-2</v>
      </c>
      <c r="F75" s="115">
        <v>5.6139434774296101E-2</v>
      </c>
      <c r="G75" s="115">
        <v>1.2984924628624609E-2</v>
      </c>
      <c r="H75" s="115" t="s">
        <v>65</v>
      </c>
      <c r="I75" s="115" t="s">
        <v>58</v>
      </c>
      <c r="J75" s="115" t="s">
        <v>59</v>
      </c>
      <c r="K75" s="115" t="s">
        <v>87</v>
      </c>
      <c r="L75" s="116" t="s">
        <v>340</v>
      </c>
    </row>
    <row r="76" spans="2:12" s="117" customFormat="1" ht="16.5" customHeight="1" outlineLevel="1">
      <c r="B76" s="113">
        <v>60</v>
      </c>
      <c r="C76" s="118" t="s">
        <v>397</v>
      </c>
      <c r="D76" s="119">
        <v>0</v>
      </c>
      <c r="E76" s="119">
        <v>0.12916399609051399</v>
      </c>
      <c r="F76" s="119">
        <v>0.28422465362935911</v>
      </c>
      <c r="G76" s="119">
        <v>5.1686885846281699E-2</v>
      </c>
      <c r="H76" s="119" t="s">
        <v>67</v>
      </c>
      <c r="I76" s="119" t="s">
        <v>58</v>
      </c>
      <c r="J76" s="119" t="s">
        <v>59</v>
      </c>
      <c r="K76" s="119" t="s">
        <v>86</v>
      </c>
      <c r="L76" s="120" t="s">
        <v>340</v>
      </c>
    </row>
    <row r="77" spans="2:12" s="117" customFormat="1" ht="16.5" customHeight="1" outlineLevel="1">
      <c r="B77" s="113">
        <v>61</v>
      </c>
      <c r="C77" s="114" t="s">
        <v>398</v>
      </c>
      <c r="D77" s="115">
        <v>-1.0275000000000001</v>
      </c>
      <c r="E77" s="115">
        <v>0.47253176930596286</v>
      </c>
      <c r="F77" s="115">
        <v>1.9724999999999999</v>
      </c>
      <c r="G77" s="115">
        <v>0.5</v>
      </c>
      <c r="H77" s="115" t="s">
        <v>61</v>
      </c>
      <c r="I77" s="115" t="s">
        <v>58</v>
      </c>
      <c r="J77" s="115" t="s">
        <v>59</v>
      </c>
      <c r="K77" s="115" t="s">
        <v>87</v>
      </c>
      <c r="L77" s="116" t="s">
        <v>340</v>
      </c>
    </row>
    <row r="78" spans="2:12" s="117" customFormat="1" ht="16.5" customHeight="1" outlineLevel="1">
      <c r="B78" s="113">
        <v>62</v>
      </c>
      <c r="C78" s="118" t="s">
        <v>399</v>
      </c>
      <c r="D78" s="119">
        <v>1.299E-2</v>
      </c>
      <c r="E78" s="119">
        <v>3.2416666666666698E-2</v>
      </c>
      <c r="F78" s="119">
        <v>6.7726761732307406E-2</v>
      </c>
      <c r="G78" s="119">
        <v>1.17700316885469E-2</v>
      </c>
      <c r="H78" s="119" t="s">
        <v>76</v>
      </c>
      <c r="I78" s="119" t="s">
        <v>58</v>
      </c>
      <c r="J78" s="119" t="s">
        <v>59</v>
      </c>
      <c r="K78" s="119" t="s">
        <v>88</v>
      </c>
      <c r="L78" s="120" t="s">
        <v>340</v>
      </c>
    </row>
    <row r="79" spans="2:12" s="117" customFormat="1" ht="16.5" customHeight="1" outlineLevel="1">
      <c r="B79" s="113">
        <v>63</v>
      </c>
      <c r="C79" s="114" t="s">
        <v>400</v>
      </c>
      <c r="D79" s="115">
        <v>1.6919174256440489E-4</v>
      </c>
      <c r="E79" s="115">
        <v>5.2868293334134099E-2</v>
      </c>
      <c r="F79" s="115">
        <v>0.1055673949257038</v>
      </c>
      <c r="G79" s="115">
        <v>1.7566367197189899E-2</v>
      </c>
      <c r="H79" s="115" t="s">
        <v>65</v>
      </c>
      <c r="I79" s="115" t="s">
        <v>58</v>
      </c>
      <c r="J79" s="115" t="s">
        <v>59</v>
      </c>
      <c r="K79" s="115" t="s">
        <v>89</v>
      </c>
      <c r="L79" s="116" t="s">
        <v>340</v>
      </c>
    </row>
    <row r="80" spans="2:12" s="117" customFormat="1" ht="16.5" customHeight="1" outlineLevel="1">
      <c r="B80" s="113">
        <v>64</v>
      </c>
      <c r="C80" s="118" t="s">
        <v>401</v>
      </c>
      <c r="D80" s="119">
        <v>0</v>
      </c>
      <c r="E80" s="119">
        <v>1.7184660888422271E-2</v>
      </c>
      <c r="F80" s="119">
        <v>5.6139434774296101E-2</v>
      </c>
      <c r="G80" s="119">
        <v>1.2984924628624609E-2</v>
      </c>
      <c r="H80" s="119" t="s">
        <v>65</v>
      </c>
      <c r="I80" s="119" t="s">
        <v>58</v>
      </c>
      <c r="J80" s="119" t="s">
        <v>59</v>
      </c>
      <c r="K80" s="119" t="s">
        <v>88</v>
      </c>
      <c r="L80" s="120" t="s">
        <v>340</v>
      </c>
    </row>
    <row r="81" spans="2:12" s="117" customFormat="1" ht="16.5" customHeight="1" outlineLevel="1">
      <c r="B81" s="113">
        <v>65</v>
      </c>
      <c r="C81" s="114" t="s">
        <v>402</v>
      </c>
      <c r="D81" s="115">
        <v>9.41788328125297E-2</v>
      </c>
      <c r="E81" s="115">
        <v>0.135380518140301</v>
      </c>
      <c r="F81" s="115">
        <v>0.1765822034680723</v>
      </c>
      <c r="G81" s="115">
        <v>1.3733895109257099E-2</v>
      </c>
      <c r="H81" s="115" t="s">
        <v>67</v>
      </c>
      <c r="I81" s="115" t="s">
        <v>58</v>
      </c>
      <c r="J81" s="115" t="s">
        <v>59</v>
      </c>
      <c r="K81" s="115" t="s">
        <v>89</v>
      </c>
      <c r="L81" s="116" t="s">
        <v>340</v>
      </c>
    </row>
    <row r="82" spans="2:12" s="117" customFormat="1" ht="16.5" customHeight="1" outlineLevel="1">
      <c r="B82" s="113">
        <v>66</v>
      </c>
      <c r="C82" s="118" t="s">
        <v>403</v>
      </c>
      <c r="D82" s="119">
        <v>-0.64259259259259249</v>
      </c>
      <c r="E82" s="119">
        <v>0.25740740740740742</v>
      </c>
      <c r="F82" s="119">
        <v>1.1574074074074074</v>
      </c>
      <c r="G82" s="119">
        <v>0.3</v>
      </c>
      <c r="H82" s="119" t="s">
        <v>61</v>
      </c>
      <c r="I82" s="119" t="s">
        <v>58</v>
      </c>
      <c r="J82" s="119" t="s">
        <v>59</v>
      </c>
      <c r="K82" s="119" t="s">
        <v>88</v>
      </c>
      <c r="L82" s="120" t="s">
        <v>340</v>
      </c>
    </row>
    <row r="83" spans="2:12" s="117" customFormat="1" ht="16.5" customHeight="1" outlineLevel="1">
      <c r="B83" s="113">
        <v>67</v>
      </c>
      <c r="C83" s="114" t="s">
        <v>404</v>
      </c>
      <c r="D83" s="115">
        <v>1.2999999999999999E-2</v>
      </c>
      <c r="E83" s="115">
        <v>3.3000000000000002E-2</v>
      </c>
      <c r="F83" s="115">
        <v>7.0898936170212895E-2</v>
      </c>
      <c r="G83" s="115">
        <v>1.26329787234043E-2</v>
      </c>
      <c r="H83" s="115" t="s">
        <v>76</v>
      </c>
      <c r="I83" s="115" t="s">
        <v>58</v>
      </c>
      <c r="J83" s="115" t="s">
        <v>59</v>
      </c>
      <c r="K83" s="115" t="s">
        <v>88</v>
      </c>
      <c r="L83" s="116" t="s">
        <v>340</v>
      </c>
    </row>
    <row r="84" spans="2:12" s="117" customFormat="1" ht="16.5" customHeight="1" outlineLevel="1">
      <c r="B84" s="113">
        <v>68</v>
      </c>
      <c r="C84" s="118" t="s">
        <v>405</v>
      </c>
      <c r="D84" s="119">
        <v>0</v>
      </c>
      <c r="E84" s="119">
        <v>0.02</v>
      </c>
      <c r="F84" s="119">
        <v>4.7673950546290984E-2</v>
      </c>
      <c r="G84" s="119">
        <v>9.2246501820969946E-3</v>
      </c>
      <c r="H84" s="119" t="s">
        <v>76</v>
      </c>
      <c r="I84" s="119" t="s">
        <v>58</v>
      </c>
      <c r="J84" s="119" t="s">
        <v>59</v>
      </c>
      <c r="K84" s="119" t="s">
        <v>88</v>
      </c>
      <c r="L84" s="120" t="s">
        <v>340</v>
      </c>
    </row>
    <row r="85" spans="2:12" s="117" customFormat="1" ht="16.5" customHeight="1" outlineLevel="1">
      <c r="B85" s="113">
        <v>69</v>
      </c>
      <c r="C85" s="114" t="s">
        <v>406</v>
      </c>
      <c r="D85" s="115">
        <v>0</v>
      </c>
      <c r="E85" s="115">
        <v>0.02</v>
      </c>
      <c r="F85" s="115">
        <v>0.05</v>
      </c>
      <c r="G85" s="115">
        <v>0.01</v>
      </c>
      <c r="H85" s="115" t="s">
        <v>90</v>
      </c>
      <c r="I85" s="115" t="s">
        <v>91</v>
      </c>
      <c r="J85" s="115" t="s">
        <v>59</v>
      </c>
      <c r="K85" s="115" t="s">
        <v>87</v>
      </c>
      <c r="L85" s="116" t="s">
        <v>340</v>
      </c>
    </row>
    <row r="86" spans="2:12" s="117" customFormat="1" ht="16.5" customHeight="1" outlineLevel="1">
      <c r="B86" s="113">
        <v>70</v>
      </c>
      <c r="C86" s="118" t="s">
        <v>407</v>
      </c>
      <c r="D86" s="119">
        <v>0</v>
      </c>
      <c r="E86" s="119">
        <v>2.9600000000000001E-2</v>
      </c>
      <c r="F86" s="119">
        <v>8.3503875379939224E-2</v>
      </c>
      <c r="G86" s="119">
        <v>1.7967958459979741E-2</v>
      </c>
      <c r="H86" s="119" t="s">
        <v>61</v>
      </c>
      <c r="I86" s="119" t="s">
        <v>58</v>
      </c>
      <c r="J86" s="119" t="s">
        <v>59</v>
      </c>
      <c r="K86" s="119" t="s">
        <v>88</v>
      </c>
      <c r="L86" s="120" t="s">
        <v>340</v>
      </c>
    </row>
    <row r="87" spans="2:12" s="126" customFormat="1" ht="16.5">
      <c r="B87" s="121"/>
      <c r="C87" s="122"/>
      <c r="D87" s="121"/>
      <c r="E87" s="121"/>
      <c r="F87" s="121"/>
      <c r="G87" s="123"/>
      <c r="H87" s="124"/>
      <c r="I87" s="124"/>
      <c r="J87" s="124"/>
      <c r="K87" s="124"/>
      <c r="L87" s="125"/>
    </row>
    <row r="88" spans="2:12" ht="16.5">
      <c r="B88" s="127" t="s">
        <v>43</v>
      </c>
      <c r="C88" s="127" t="s">
        <v>92</v>
      </c>
      <c r="D88" s="127" t="s">
        <v>45</v>
      </c>
      <c r="E88" s="127" t="s">
        <v>46</v>
      </c>
      <c r="F88" s="128" t="s">
        <v>47</v>
      </c>
      <c r="G88" s="702" t="s">
        <v>48</v>
      </c>
      <c r="H88" s="703"/>
      <c r="I88" s="702" t="s">
        <v>49</v>
      </c>
      <c r="J88" s="703"/>
    </row>
    <row r="89" spans="2:12" ht="16.5" outlineLevel="1">
      <c r="B89" s="116">
        <v>71</v>
      </c>
      <c r="C89" s="116" t="s">
        <v>736</v>
      </c>
      <c r="D89" s="115" t="s">
        <v>3</v>
      </c>
      <c r="E89" s="116" t="s">
        <v>55</v>
      </c>
      <c r="F89" s="116" t="s">
        <v>59</v>
      </c>
      <c r="G89" s="689" t="s">
        <v>903</v>
      </c>
      <c r="H89" s="690"/>
      <c r="I89" s="691" t="s">
        <v>912</v>
      </c>
      <c r="J89" s="692"/>
    </row>
    <row r="90" spans="2:12" ht="16.5" outlineLevel="1">
      <c r="B90" s="129">
        <v>72</v>
      </c>
      <c r="C90" s="129" t="s">
        <v>94</v>
      </c>
      <c r="D90" s="119" t="s">
        <v>3</v>
      </c>
      <c r="E90" s="130" t="s">
        <v>55</v>
      </c>
      <c r="F90" s="129" t="s">
        <v>59</v>
      </c>
      <c r="G90" s="693" t="s">
        <v>902</v>
      </c>
      <c r="H90" s="694"/>
      <c r="I90" s="696" t="s">
        <v>912</v>
      </c>
      <c r="J90" s="697"/>
    </row>
    <row r="91" spans="2:12" ht="16.5" customHeight="1" outlineLevel="1">
      <c r="B91" s="116">
        <v>73</v>
      </c>
      <c r="C91" s="116" t="s">
        <v>95</v>
      </c>
      <c r="D91" s="115" t="s">
        <v>3</v>
      </c>
      <c r="E91" s="116" t="s">
        <v>55</v>
      </c>
      <c r="F91" s="116" t="s">
        <v>59</v>
      </c>
      <c r="G91" s="691" t="s">
        <v>904</v>
      </c>
      <c r="H91" s="692"/>
      <c r="I91" s="691" t="s">
        <v>912</v>
      </c>
      <c r="J91" s="692"/>
    </row>
    <row r="92" spans="2:12" ht="16.5" outlineLevel="1">
      <c r="B92" s="129">
        <v>74</v>
      </c>
      <c r="C92" s="129" t="s">
        <v>96</v>
      </c>
      <c r="D92" s="119" t="s">
        <v>3</v>
      </c>
      <c r="E92" s="129" t="s">
        <v>55</v>
      </c>
      <c r="F92" s="129" t="s">
        <v>59</v>
      </c>
      <c r="G92" s="693" t="s">
        <v>904</v>
      </c>
      <c r="H92" s="694"/>
      <c r="I92" s="698" t="s">
        <v>912</v>
      </c>
      <c r="J92" s="699"/>
    </row>
    <row r="93" spans="2:12" ht="16.5" outlineLevel="1">
      <c r="B93" s="116">
        <v>76</v>
      </c>
      <c r="C93" s="116" t="s">
        <v>893</v>
      </c>
      <c r="D93" s="605" t="s">
        <v>3</v>
      </c>
      <c r="E93" s="116" t="s">
        <v>894</v>
      </c>
      <c r="F93" s="116" t="s">
        <v>895</v>
      </c>
      <c r="G93" s="689" t="s">
        <v>904</v>
      </c>
      <c r="H93" s="690"/>
      <c r="I93" s="691" t="s">
        <v>912</v>
      </c>
      <c r="J93" s="692"/>
    </row>
    <row r="94" spans="2:12" ht="16.5" outlineLevel="1">
      <c r="B94" s="579">
        <v>77</v>
      </c>
      <c r="C94" s="579" t="s">
        <v>896</v>
      </c>
      <c r="D94" s="119" t="s">
        <v>3</v>
      </c>
      <c r="E94" s="579" t="s">
        <v>894</v>
      </c>
      <c r="F94" s="579" t="s">
        <v>897</v>
      </c>
      <c r="G94" s="693" t="s">
        <v>904</v>
      </c>
      <c r="H94" s="694"/>
      <c r="I94" s="695" t="s">
        <v>912</v>
      </c>
      <c r="J94" s="694"/>
    </row>
    <row r="95" spans="2:12" ht="16.5" outlineLevel="1">
      <c r="B95" s="116">
        <v>78</v>
      </c>
      <c r="C95" s="116" t="s">
        <v>898</v>
      </c>
      <c r="D95" s="605" t="s">
        <v>3</v>
      </c>
      <c r="E95" s="116" t="s">
        <v>894</v>
      </c>
      <c r="F95" s="116" t="s">
        <v>897</v>
      </c>
      <c r="G95" s="689" t="s">
        <v>905</v>
      </c>
      <c r="H95" s="690"/>
      <c r="I95" s="691" t="s">
        <v>912</v>
      </c>
      <c r="J95" s="692"/>
    </row>
    <row r="96" spans="2:12" ht="16.5" outlineLevel="1">
      <c r="B96" s="579">
        <v>79</v>
      </c>
      <c r="C96" s="579" t="s">
        <v>899</v>
      </c>
      <c r="D96" s="119" t="s">
        <v>3</v>
      </c>
      <c r="E96" s="579" t="s">
        <v>900</v>
      </c>
      <c r="F96" s="579" t="s">
        <v>901</v>
      </c>
      <c r="G96" s="693" t="s">
        <v>906</v>
      </c>
      <c r="H96" s="694"/>
      <c r="I96" s="695" t="s">
        <v>912</v>
      </c>
      <c r="J96" s="694"/>
    </row>
    <row r="97" spans="2:13" outlineLevel="1">
      <c r="H97" s="91"/>
    </row>
    <row r="98" spans="2:13" ht="20.25" outlineLevel="1">
      <c r="B98" s="133" t="s">
        <v>97</v>
      </c>
      <c r="C98" s="134"/>
      <c r="D98" s="135"/>
      <c r="E98" s="135"/>
      <c r="F98" s="135"/>
      <c r="G98" s="135"/>
      <c r="H98" s="135"/>
      <c r="I98" s="135"/>
      <c r="J98" s="135"/>
      <c r="K98" s="135"/>
      <c r="L98" s="135"/>
      <c r="M98" s="136"/>
    </row>
    <row r="99" spans="2:13" outlineLevel="1"/>
    <row r="100" spans="2:13" outlineLevel="1"/>
    <row r="101" spans="2:13" outlineLevel="1"/>
    <row r="102" spans="2:13" outlineLevel="1"/>
  </sheetData>
  <mergeCells count="57">
    <mergeCell ref="B1:M1"/>
    <mergeCell ref="B2:E2"/>
    <mergeCell ref="G2:H2"/>
    <mergeCell ref="I2:J2"/>
    <mergeCell ref="D3:E3"/>
    <mergeCell ref="G3:H3"/>
    <mergeCell ref="I3:J3"/>
    <mergeCell ref="D4:E4"/>
    <mergeCell ref="G4:H4"/>
    <mergeCell ref="I4:J4"/>
    <mergeCell ref="D5:E5"/>
    <mergeCell ref="G5:H5"/>
    <mergeCell ref="I5:J5"/>
    <mergeCell ref="D11:E11"/>
    <mergeCell ref="G11:H11"/>
    <mergeCell ref="D6:E6"/>
    <mergeCell ref="G6:H6"/>
    <mergeCell ref="I6:J6"/>
    <mergeCell ref="D7:E7"/>
    <mergeCell ref="D8:E8"/>
    <mergeCell ref="G8:H8"/>
    <mergeCell ref="I8:J8"/>
    <mergeCell ref="D9:E9"/>
    <mergeCell ref="G9:H9"/>
    <mergeCell ref="I9:J9"/>
    <mergeCell ref="D10:E10"/>
    <mergeCell ref="G10:H10"/>
    <mergeCell ref="B12:B14"/>
    <mergeCell ref="C12:J12"/>
    <mergeCell ref="C13:J13"/>
    <mergeCell ref="C14:J14"/>
    <mergeCell ref="B15:B16"/>
    <mergeCell ref="C15:C16"/>
    <mergeCell ref="D15:G15"/>
    <mergeCell ref="H15:H16"/>
    <mergeCell ref="I15:I16"/>
    <mergeCell ref="J15:J16"/>
    <mergeCell ref="K15:K16"/>
    <mergeCell ref="L15:L16"/>
    <mergeCell ref="G88:H88"/>
    <mergeCell ref="I88:J88"/>
    <mergeCell ref="G89:H89"/>
    <mergeCell ref="I89:J89"/>
    <mergeCell ref="G90:H90"/>
    <mergeCell ref="I90:J90"/>
    <mergeCell ref="G91:H91"/>
    <mergeCell ref="I91:J91"/>
    <mergeCell ref="G92:H92"/>
    <mergeCell ref="I92:J92"/>
    <mergeCell ref="G95:H95"/>
    <mergeCell ref="I95:J95"/>
    <mergeCell ref="G96:H96"/>
    <mergeCell ref="I96:J96"/>
    <mergeCell ref="G93:H93"/>
    <mergeCell ref="I93:J93"/>
    <mergeCell ref="G94:H94"/>
    <mergeCell ref="I94:J94"/>
  </mergeCells>
  <phoneticPr fontId="5" type="noConversion"/>
  <dataValidations count="5">
    <dataValidation type="list" allowBlank="1" showInputMessage="1" showErrorMessage="1" sqref="H17:H86 JD17:JD86 SZ17:SZ86 ACV17:ACV86 AMR17:AMR86 AWN17:AWN86 BGJ17:BGJ86 BQF17:BQF86 CAB17:CAB86 CJX17:CJX86 CTT17:CTT86 DDP17:DDP86 DNL17:DNL86 DXH17:DXH86 EHD17:EHD86 EQZ17:EQZ86 FAV17:FAV86 FKR17:FKR86 FUN17:FUN86 GEJ17:GEJ86 GOF17:GOF86 GYB17:GYB86 HHX17:HHX86 HRT17:HRT86 IBP17:IBP86 ILL17:ILL86 IVH17:IVH86 JFD17:JFD86 JOZ17:JOZ86 JYV17:JYV86 KIR17:KIR86 KSN17:KSN86 LCJ17:LCJ86 LMF17:LMF86 LWB17:LWB86 MFX17:MFX86 MPT17:MPT86 MZP17:MZP86 NJL17:NJL86 NTH17:NTH86 ODD17:ODD86 OMZ17:OMZ86 OWV17:OWV86 PGR17:PGR86 PQN17:PQN86 QAJ17:QAJ86 QKF17:QKF86 QUB17:QUB86 RDX17:RDX86 RNT17:RNT86 RXP17:RXP86 SHL17:SHL86 SRH17:SRH86 TBD17:TBD86 TKZ17:TKZ86 TUV17:TUV86 UER17:UER86 UON17:UON86 UYJ17:UYJ86 VIF17:VIF86 VSB17:VSB86 WBX17:WBX86 WLT17:WLT86 WVP17:WVP86 H65553:H65621 JD65553:JD65621 SZ65553:SZ65621 ACV65553:ACV65621 AMR65553:AMR65621 AWN65553:AWN65621 BGJ65553:BGJ65621 BQF65553:BQF65621 CAB65553:CAB65621 CJX65553:CJX65621 CTT65553:CTT65621 DDP65553:DDP65621 DNL65553:DNL65621 DXH65553:DXH65621 EHD65553:EHD65621 EQZ65553:EQZ65621 FAV65553:FAV65621 FKR65553:FKR65621 FUN65553:FUN65621 GEJ65553:GEJ65621 GOF65553:GOF65621 GYB65553:GYB65621 HHX65553:HHX65621 HRT65553:HRT65621 IBP65553:IBP65621 ILL65553:ILL65621 IVH65553:IVH65621 JFD65553:JFD65621 JOZ65553:JOZ65621 JYV65553:JYV65621 KIR65553:KIR65621 KSN65553:KSN65621 LCJ65553:LCJ65621 LMF65553:LMF65621 LWB65553:LWB65621 MFX65553:MFX65621 MPT65553:MPT65621 MZP65553:MZP65621 NJL65553:NJL65621 NTH65553:NTH65621 ODD65553:ODD65621 OMZ65553:OMZ65621 OWV65553:OWV65621 PGR65553:PGR65621 PQN65553:PQN65621 QAJ65553:QAJ65621 QKF65553:QKF65621 QUB65553:QUB65621 RDX65553:RDX65621 RNT65553:RNT65621 RXP65553:RXP65621 SHL65553:SHL65621 SRH65553:SRH65621 TBD65553:TBD65621 TKZ65553:TKZ65621 TUV65553:TUV65621 UER65553:UER65621 UON65553:UON65621 UYJ65553:UYJ65621 VIF65553:VIF65621 VSB65553:VSB65621 WBX65553:WBX65621 WLT65553:WLT65621 WVP65553:WVP65621 H131089:H131157 JD131089:JD131157 SZ131089:SZ131157 ACV131089:ACV131157 AMR131089:AMR131157 AWN131089:AWN131157 BGJ131089:BGJ131157 BQF131089:BQF131157 CAB131089:CAB131157 CJX131089:CJX131157 CTT131089:CTT131157 DDP131089:DDP131157 DNL131089:DNL131157 DXH131089:DXH131157 EHD131089:EHD131157 EQZ131089:EQZ131157 FAV131089:FAV131157 FKR131089:FKR131157 FUN131089:FUN131157 GEJ131089:GEJ131157 GOF131089:GOF131157 GYB131089:GYB131157 HHX131089:HHX131157 HRT131089:HRT131157 IBP131089:IBP131157 ILL131089:ILL131157 IVH131089:IVH131157 JFD131089:JFD131157 JOZ131089:JOZ131157 JYV131089:JYV131157 KIR131089:KIR131157 KSN131089:KSN131157 LCJ131089:LCJ131157 LMF131089:LMF131157 LWB131089:LWB131157 MFX131089:MFX131157 MPT131089:MPT131157 MZP131089:MZP131157 NJL131089:NJL131157 NTH131089:NTH131157 ODD131089:ODD131157 OMZ131089:OMZ131157 OWV131089:OWV131157 PGR131089:PGR131157 PQN131089:PQN131157 QAJ131089:QAJ131157 QKF131089:QKF131157 QUB131089:QUB131157 RDX131089:RDX131157 RNT131089:RNT131157 RXP131089:RXP131157 SHL131089:SHL131157 SRH131089:SRH131157 TBD131089:TBD131157 TKZ131089:TKZ131157 TUV131089:TUV131157 UER131089:UER131157 UON131089:UON131157 UYJ131089:UYJ131157 VIF131089:VIF131157 VSB131089:VSB131157 WBX131089:WBX131157 WLT131089:WLT131157 WVP131089:WVP131157 H196625:H196693 JD196625:JD196693 SZ196625:SZ196693 ACV196625:ACV196693 AMR196625:AMR196693 AWN196625:AWN196693 BGJ196625:BGJ196693 BQF196625:BQF196693 CAB196625:CAB196693 CJX196625:CJX196693 CTT196625:CTT196693 DDP196625:DDP196693 DNL196625:DNL196693 DXH196625:DXH196693 EHD196625:EHD196693 EQZ196625:EQZ196693 FAV196625:FAV196693 FKR196625:FKR196693 FUN196625:FUN196693 GEJ196625:GEJ196693 GOF196625:GOF196693 GYB196625:GYB196693 HHX196625:HHX196693 HRT196625:HRT196693 IBP196625:IBP196693 ILL196625:ILL196693 IVH196625:IVH196693 JFD196625:JFD196693 JOZ196625:JOZ196693 JYV196625:JYV196693 KIR196625:KIR196693 KSN196625:KSN196693 LCJ196625:LCJ196693 LMF196625:LMF196693 LWB196625:LWB196693 MFX196625:MFX196693 MPT196625:MPT196693 MZP196625:MZP196693 NJL196625:NJL196693 NTH196625:NTH196693 ODD196625:ODD196693 OMZ196625:OMZ196693 OWV196625:OWV196693 PGR196625:PGR196693 PQN196625:PQN196693 QAJ196625:QAJ196693 QKF196625:QKF196693 QUB196625:QUB196693 RDX196625:RDX196693 RNT196625:RNT196693 RXP196625:RXP196693 SHL196625:SHL196693 SRH196625:SRH196693 TBD196625:TBD196693 TKZ196625:TKZ196693 TUV196625:TUV196693 UER196625:UER196693 UON196625:UON196693 UYJ196625:UYJ196693 VIF196625:VIF196693 VSB196625:VSB196693 WBX196625:WBX196693 WLT196625:WLT196693 WVP196625:WVP196693 H262161:H262229 JD262161:JD262229 SZ262161:SZ262229 ACV262161:ACV262229 AMR262161:AMR262229 AWN262161:AWN262229 BGJ262161:BGJ262229 BQF262161:BQF262229 CAB262161:CAB262229 CJX262161:CJX262229 CTT262161:CTT262229 DDP262161:DDP262229 DNL262161:DNL262229 DXH262161:DXH262229 EHD262161:EHD262229 EQZ262161:EQZ262229 FAV262161:FAV262229 FKR262161:FKR262229 FUN262161:FUN262229 GEJ262161:GEJ262229 GOF262161:GOF262229 GYB262161:GYB262229 HHX262161:HHX262229 HRT262161:HRT262229 IBP262161:IBP262229 ILL262161:ILL262229 IVH262161:IVH262229 JFD262161:JFD262229 JOZ262161:JOZ262229 JYV262161:JYV262229 KIR262161:KIR262229 KSN262161:KSN262229 LCJ262161:LCJ262229 LMF262161:LMF262229 LWB262161:LWB262229 MFX262161:MFX262229 MPT262161:MPT262229 MZP262161:MZP262229 NJL262161:NJL262229 NTH262161:NTH262229 ODD262161:ODD262229 OMZ262161:OMZ262229 OWV262161:OWV262229 PGR262161:PGR262229 PQN262161:PQN262229 QAJ262161:QAJ262229 QKF262161:QKF262229 QUB262161:QUB262229 RDX262161:RDX262229 RNT262161:RNT262229 RXP262161:RXP262229 SHL262161:SHL262229 SRH262161:SRH262229 TBD262161:TBD262229 TKZ262161:TKZ262229 TUV262161:TUV262229 UER262161:UER262229 UON262161:UON262229 UYJ262161:UYJ262229 VIF262161:VIF262229 VSB262161:VSB262229 WBX262161:WBX262229 WLT262161:WLT262229 WVP262161:WVP262229 H327697:H327765 JD327697:JD327765 SZ327697:SZ327765 ACV327697:ACV327765 AMR327697:AMR327765 AWN327697:AWN327765 BGJ327697:BGJ327765 BQF327697:BQF327765 CAB327697:CAB327765 CJX327697:CJX327765 CTT327697:CTT327765 DDP327697:DDP327765 DNL327697:DNL327765 DXH327697:DXH327765 EHD327697:EHD327765 EQZ327697:EQZ327765 FAV327697:FAV327765 FKR327697:FKR327765 FUN327697:FUN327765 GEJ327697:GEJ327765 GOF327697:GOF327765 GYB327697:GYB327765 HHX327697:HHX327765 HRT327697:HRT327765 IBP327697:IBP327765 ILL327697:ILL327765 IVH327697:IVH327765 JFD327697:JFD327765 JOZ327697:JOZ327765 JYV327697:JYV327765 KIR327697:KIR327765 KSN327697:KSN327765 LCJ327697:LCJ327765 LMF327697:LMF327765 LWB327697:LWB327765 MFX327697:MFX327765 MPT327697:MPT327765 MZP327697:MZP327765 NJL327697:NJL327765 NTH327697:NTH327765 ODD327697:ODD327765 OMZ327697:OMZ327765 OWV327697:OWV327765 PGR327697:PGR327765 PQN327697:PQN327765 QAJ327697:QAJ327765 QKF327697:QKF327765 QUB327697:QUB327765 RDX327697:RDX327765 RNT327697:RNT327765 RXP327697:RXP327765 SHL327697:SHL327765 SRH327697:SRH327765 TBD327697:TBD327765 TKZ327697:TKZ327765 TUV327697:TUV327765 UER327697:UER327765 UON327697:UON327765 UYJ327697:UYJ327765 VIF327697:VIF327765 VSB327697:VSB327765 WBX327697:WBX327765 WLT327697:WLT327765 WVP327697:WVP327765 H393233:H393301 JD393233:JD393301 SZ393233:SZ393301 ACV393233:ACV393301 AMR393233:AMR393301 AWN393233:AWN393301 BGJ393233:BGJ393301 BQF393233:BQF393301 CAB393233:CAB393301 CJX393233:CJX393301 CTT393233:CTT393301 DDP393233:DDP393301 DNL393233:DNL393301 DXH393233:DXH393301 EHD393233:EHD393301 EQZ393233:EQZ393301 FAV393233:FAV393301 FKR393233:FKR393301 FUN393233:FUN393301 GEJ393233:GEJ393301 GOF393233:GOF393301 GYB393233:GYB393301 HHX393233:HHX393301 HRT393233:HRT393301 IBP393233:IBP393301 ILL393233:ILL393301 IVH393233:IVH393301 JFD393233:JFD393301 JOZ393233:JOZ393301 JYV393233:JYV393301 KIR393233:KIR393301 KSN393233:KSN393301 LCJ393233:LCJ393301 LMF393233:LMF393301 LWB393233:LWB393301 MFX393233:MFX393301 MPT393233:MPT393301 MZP393233:MZP393301 NJL393233:NJL393301 NTH393233:NTH393301 ODD393233:ODD393301 OMZ393233:OMZ393301 OWV393233:OWV393301 PGR393233:PGR393301 PQN393233:PQN393301 QAJ393233:QAJ393301 QKF393233:QKF393301 QUB393233:QUB393301 RDX393233:RDX393301 RNT393233:RNT393301 RXP393233:RXP393301 SHL393233:SHL393301 SRH393233:SRH393301 TBD393233:TBD393301 TKZ393233:TKZ393301 TUV393233:TUV393301 UER393233:UER393301 UON393233:UON393301 UYJ393233:UYJ393301 VIF393233:VIF393301 VSB393233:VSB393301 WBX393233:WBX393301 WLT393233:WLT393301 WVP393233:WVP393301 H458769:H458837 JD458769:JD458837 SZ458769:SZ458837 ACV458769:ACV458837 AMR458769:AMR458837 AWN458769:AWN458837 BGJ458769:BGJ458837 BQF458769:BQF458837 CAB458769:CAB458837 CJX458769:CJX458837 CTT458769:CTT458837 DDP458769:DDP458837 DNL458769:DNL458837 DXH458769:DXH458837 EHD458769:EHD458837 EQZ458769:EQZ458837 FAV458769:FAV458837 FKR458769:FKR458837 FUN458769:FUN458837 GEJ458769:GEJ458837 GOF458769:GOF458837 GYB458769:GYB458837 HHX458769:HHX458837 HRT458769:HRT458837 IBP458769:IBP458837 ILL458769:ILL458837 IVH458769:IVH458837 JFD458769:JFD458837 JOZ458769:JOZ458837 JYV458769:JYV458837 KIR458769:KIR458837 KSN458769:KSN458837 LCJ458769:LCJ458837 LMF458769:LMF458837 LWB458769:LWB458837 MFX458769:MFX458837 MPT458769:MPT458837 MZP458769:MZP458837 NJL458769:NJL458837 NTH458769:NTH458837 ODD458769:ODD458837 OMZ458769:OMZ458837 OWV458769:OWV458837 PGR458769:PGR458837 PQN458769:PQN458837 QAJ458769:QAJ458837 QKF458769:QKF458837 QUB458769:QUB458837 RDX458769:RDX458837 RNT458769:RNT458837 RXP458769:RXP458837 SHL458769:SHL458837 SRH458769:SRH458837 TBD458769:TBD458837 TKZ458769:TKZ458837 TUV458769:TUV458837 UER458769:UER458837 UON458769:UON458837 UYJ458769:UYJ458837 VIF458769:VIF458837 VSB458769:VSB458837 WBX458769:WBX458837 WLT458769:WLT458837 WVP458769:WVP458837 H524305:H524373 JD524305:JD524373 SZ524305:SZ524373 ACV524305:ACV524373 AMR524305:AMR524373 AWN524305:AWN524373 BGJ524305:BGJ524373 BQF524305:BQF524373 CAB524305:CAB524373 CJX524305:CJX524373 CTT524305:CTT524373 DDP524305:DDP524373 DNL524305:DNL524373 DXH524305:DXH524373 EHD524305:EHD524373 EQZ524305:EQZ524373 FAV524305:FAV524373 FKR524305:FKR524373 FUN524305:FUN524373 GEJ524305:GEJ524373 GOF524305:GOF524373 GYB524305:GYB524373 HHX524305:HHX524373 HRT524305:HRT524373 IBP524305:IBP524373 ILL524305:ILL524373 IVH524305:IVH524373 JFD524305:JFD524373 JOZ524305:JOZ524373 JYV524305:JYV524373 KIR524305:KIR524373 KSN524305:KSN524373 LCJ524305:LCJ524373 LMF524305:LMF524373 LWB524305:LWB524373 MFX524305:MFX524373 MPT524305:MPT524373 MZP524305:MZP524373 NJL524305:NJL524373 NTH524305:NTH524373 ODD524305:ODD524373 OMZ524305:OMZ524373 OWV524305:OWV524373 PGR524305:PGR524373 PQN524305:PQN524373 QAJ524305:QAJ524373 QKF524305:QKF524373 QUB524305:QUB524373 RDX524305:RDX524373 RNT524305:RNT524373 RXP524305:RXP524373 SHL524305:SHL524373 SRH524305:SRH524373 TBD524305:TBD524373 TKZ524305:TKZ524373 TUV524305:TUV524373 UER524305:UER524373 UON524305:UON524373 UYJ524305:UYJ524373 VIF524305:VIF524373 VSB524305:VSB524373 WBX524305:WBX524373 WLT524305:WLT524373 WVP524305:WVP524373 H589841:H589909 JD589841:JD589909 SZ589841:SZ589909 ACV589841:ACV589909 AMR589841:AMR589909 AWN589841:AWN589909 BGJ589841:BGJ589909 BQF589841:BQF589909 CAB589841:CAB589909 CJX589841:CJX589909 CTT589841:CTT589909 DDP589841:DDP589909 DNL589841:DNL589909 DXH589841:DXH589909 EHD589841:EHD589909 EQZ589841:EQZ589909 FAV589841:FAV589909 FKR589841:FKR589909 FUN589841:FUN589909 GEJ589841:GEJ589909 GOF589841:GOF589909 GYB589841:GYB589909 HHX589841:HHX589909 HRT589841:HRT589909 IBP589841:IBP589909 ILL589841:ILL589909 IVH589841:IVH589909 JFD589841:JFD589909 JOZ589841:JOZ589909 JYV589841:JYV589909 KIR589841:KIR589909 KSN589841:KSN589909 LCJ589841:LCJ589909 LMF589841:LMF589909 LWB589841:LWB589909 MFX589841:MFX589909 MPT589841:MPT589909 MZP589841:MZP589909 NJL589841:NJL589909 NTH589841:NTH589909 ODD589841:ODD589909 OMZ589841:OMZ589909 OWV589841:OWV589909 PGR589841:PGR589909 PQN589841:PQN589909 QAJ589841:QAJ589909 QKF589841:QKF589909 QUB589841:QUB589909 RDX589841:RDX589909 RNT589841:RNT589909 RXP589841:RXP589909 SHL589841:SHL589909 SRH589841:SRH589909 TBD589841:TBD589909 TKZ589841:TKZ589909 TUV589841:TUV589909 UER589841:UER589909 UON589841:UON589909 UYJ589841:UYJ589909 VIF589841:VIF589909 VSB589841:VSB589909 WBX589841:WBX589909 WLT589841:WLT589909 WVP589841:WVP589909 H655377:H655445 JD655377:JD655445 SZ655377:SZ655445 ACV655377:ACV655445 AMR655377:AMR655445 AWN655377:AWN655445 BGJ655377:BGJ655445 BQF655377:BQF655445 CAB655377:CAB655445 CJX655377:CJX655445 CTT655377:CTT655445 DDP655377:DDP655445 DNL655377:DNL655445 DXH655377:DXH655445 EHD655377:EHD655445 EQZ655377:EQZ655445 FAV655377:FAV655445 FKR655377:FKR655445 FUN655377:FUN655445 GEJ655377:GEJ655445 GOF655377:GOF655445 GYB655377:GYB655445 HHX655377:HHX655445 HRT655377:HRT655445 IBP655377:IBP655445 ILL655377:ILL655445 IVH655377:IVH655445 JFD655377:JFD655445 JOZ655377:JOZ655445 JYV655377:JYV655445 KIR655377:KIR655445 KSN655377:KSN655445 LCJ655377:LCJ655445 LMF655377:LMF655445 LWB655377:LWB655445 MFX655377:MFX655445 MPT655377:MPT655445 MZP655377:MZP655445 NJL655377:NJL655445 NTH655377:NTH655445 ODD655377:ODD655445 OMZ655377:OMZ655445 OWV655377:OWV655445 PGR655377:PGR655445 PQN655377:PQN655445 QAJ655377:QAJ655445 QKF655377:QKF655445 QUB655377:QUB655445 RDX655377:RDX655445 RNT655377:RNT655445 RXP655377:RXP655445 SHL655377:SHL655445 SRH655377:SRH655445 TBD655377:TBD655445 TKZ655377:TKZ655445 TUV655377:TUV655445 UER655377:UER655445 UON655377:UON655445 UYJ655377:UYJ655445 VIF655377:VIF655445 VSB655377:VSB655445 WBX655377:WBX655445 WLT655377:WLT655445 WVP655377:WVP655445 H720913:H720981 JD720913:JD720981 SZ720913:SZ720981 ACV720913:ACV720981 AMR720913:AMR720981 AWN720913:AWN720981 BGJ720913:BGJ720981 BQF720913:BQF720981 CAB720913:CAB720981 CJX720913:CJX720981 CTT720913:CTT720981 DDP720913:DDP720981 DNL720913:DNL720981 DXH720913:DXH720981 EHD720913:EHD720981 EQZ720913:EQZ720981 FAV720913:FAV720981 FKR720913:FKR720981 FUN720913:FUN720981 GEJ720913:GEJ720981 GOF720913:GOF720981 GYB720913:GYB720981 HHX720913:HHX720981 HRT720913:HRT720981 IBP720913:IBP720981 ILL720913:ILL720981 IVH720913:IVH720981 JFD720913:JFD720981 JOZ720913:JOZ720981 JYV720913:JYV720981 KIR720913:KIR720981 KSN720913:KSN720981 LCJ720913:LCJ720981 LMF720913:LMF720981 LWB720913:LWB720981 MFX720913:MFX720981 MPT720913:MPT720981 MZP720913:MZP720981 NJL720913:NJL720981 NTH720913:NTH720981 ODD720913:ODD720981 OMZ720913:OMZ720981 OWV720913:OWV720981 PGR720913:PGR720981 PQN720913:PQN720981 QAJ720913:QAJ720981 QKF720913:QKF720981 QUB720913:QUB720981 RDX720913:RDX720981 RNT720913:RNT720981 RXP720913:RXP720981 SHL720913:SHL720981 SRH720913:SRH720981 TBD720913:TBD720981 TKZ720913:TKZ720981 TUV720913:TUV720981 UER720913:UER720981 UON720913:UON720981 UYJ720913:UYJ720981 VIF720913:VIF720981 VSB720913:VSB720981 WBX720913:WBX720981 WLT720913:WLT720981 WVP720913:WVP720981 H786449:H786517 JD786449:JD786517 SZ786449:SZ786517 ACV786449:ACV786517 AMR786449:AMR786517 AWN786449:AWN786517 BGJ786449:BGJ786517 BQF786449:BQF786517 CAB786449:CAB786517 CJX786449:CJX786517 CTT786449:CTT786517 DDP786449:DDP786517 DNL786449:DNL786517 DXH786449:DXH786517 EHD786449:EHD786517 EQZ786449:EQZ786517 FAV786449:FAV786517 FKR786449:FKR786517 FUN786449:FUN786517 GEJ786449:GEJ786517 GOF786449:GOF786517 GYB786449:GYB786517 HHX786449:HHX786517 HRT786449:HRT786517 IBP786449:IBP786517 ILL786449:ILL786517 IVH786449:IVH786517 JFD786449:JFD786517 JOZ786449:JOZ786517 JYV786449:JYV786517 KIR786449:KIR786517 KSN786449:KSN786517 LCJ786449:LCJ786517 LMF786449:LMF786517 LWB786449:LWB786517 MFX786449:MFX786517 MPT786449:MPT786517 MZP786449:MZP786517 NJL786449:NJL786517 NTH786449:NTH786517 ODD786449:ODD786517 OMZ786449:OMZ786517 OWV786449:OWV786517 PGR786449:PGR786517 PQN786449:PQN786517 QAJ786449:QAJ786517 QKF786449:QKF786517 QUB786449:QUB786517 RDX786449:RDX786517 RNT786449:RNT786517 RXP786449:RXP786517 SHL786449:SHL786517 SRH786449:SRH786517 TBD786449:TBD786517 TKZ786449:TKZ786517 TUV786449:TUV786517 UER786449:UER786517 UON786449:UON786517 UYJ786449:UYJ786517 VIF786449:VIF786517 VSB786449:VSB786517 WBX786449:WBX786517 WLT786449:WLT786517 WVP786449:WVP786517 H851985:H852053 JD851985:JD852053 SZ851985:SZ852053 ACV851985:ACV852053 AMR851985:AMR852053 AWN851985:AWN852053 BGJ851985:BGJ852053 BQF851985:BQF852053 CAB851985:CAB852053 CJX851985:CJX852053 CTT851985:CTT852053 DDP851985:DDP852053 DNL851985:DNL852053 DXH851985:DXH852053 EHD851985:EHD852053 EQZ851985:EQZ852053 FAV851985:FAV852053 FKR851985:FKR852053 FUN851985:FUN852053 GEJ851985:GEJ852053 GOF851985:GOF852053 GYB851985:GYB852053 HHX851985:HHX852053 HRT851985:HRT852053 IBP851985:IBP852053 ILL851985:ILL852053 IVH851985:IVH852053 JFD851985:JFD852053 JOZ851985:JOZ852053 JYV851985:JYV852053 KIR851985:KIR852053 KSN851985:KSN852053 LCJ851985:LCJ852053 LMF851985:LMF852053 LWB851985:LWB852053 MFX851985:MFX852053 MPT851985:MPT852053 MZP851985:MZP852053 NJL851985:NJL852053 NTH851985:NTH852053 ODD851985:ODD852053 OMZ851985:OMZ852053 OWV851985:OWV852053 PGR851985:PGR852053 PQN851985:PQN852053 QAJ851985:QAJ852053 QKF851985:QKF852053 QUB851985:QUB852053 RDX851985:RDX852053 RNT851985:RNT852053 RXP851985:RXP852053 SHL851985:SHL852053 SRH851985:SRH852053 TBD851985:TBD852053 TKZ851985:TKZ852053 TUV851985:TUV852053 UER851985:UER852053 UON851985:UON852053 UYJ851985:UYJ852053 VIF851985:VIF852053 VSB851985:VSB852053 WBX851985:WBX852053 WLT851985:WLT852053 WVP851985:WVP852053 H917521:H917589 JD917521:JD917589 SZ917521:SZ917589 ACV917521:ACV917589 AMR917521:AMR917589 AWN917521:AWN917589 BGJ917521:BGJ917589 BQF917521:BQF917589 CAB917521:CAB917589 CJX917521:CJX917589 CTT917521:CTT917589 DDP917521:DDP917589 DNL917521:DNL917589 DXH917521:DXH917589 EHD917521:EHD917589 EQZ917521:EQZ917589 FAV917521:FAV917589 FKR917521:FKR917589 FUN917521:FUN917589 GEJ917521:GEJ917589 GOF917521:GOF917589 GYB917521:GYB917589 HHX917521:HHX917589 HRT917521:HRT917589 IBP917521:IBP917589 ILL917521:ILL917589 IVH917521:IVH917589 JFD917521:JFD917589 JOZ917521:JOZ917589 JYV917521:JYV917589 KIR917521:KIR917589 KSN917521:KSN917589 LCJ917521:LCJ917589 LMF917521:LMF917589 LWB917521:LWB917589 MFX917521:MFX917589 MPT917521:MPT917589 MZP917521:MZP917589 NJL917521:NJL917589 NTH917521:NTH917589 ODD917521:ODD917589 OMZ917521:OMZ917589 OWV917521:OWV917589 PGR917521:PGR917589 PQN917521:PQN917589 QAJ917521:QAJ917589 QKF917521:QKF917589 QUB917521:QUB917589 RDX917521:RDX917589 RNT917521:RNT917589 RXP917521:RXP917589 SHL917521:SHL917589 SRH917521:SRH917589 TBD917521:TBD917589 TKZ917521:TKZ917589 TUV917521:TUV917589 UER917521:UER917589 UON917521:UON917589 UYJ917521:UYJ917589 VIF917521:VIF917589 VSB917521:VSB917589 WBX917521:WBX917589 WLT917521:WLT917589 WVP917521:WVP917589 H983057:H983125 JD983057:JD983125 SZ983057:SZ983125 ACV983057:ACV983125 AMR983057:AMR983125 AWN983057:AWN983125 BGJ983057:BGJ983125 BQF983057:BQF983125 CAB983057:CAB983125 CJX983057:CJX983125 CTT983057:CTT983125 DDP983057:DDP983125 DNL983057:DNL983125 DXH983057:DXH983125 EHD983057:EHD983125 EQZ983057:EQZ983125 FAV983057:FAV983125 FKR983057:FKR983125 FUN983057:FUN983125 GEJ983057:GEJ983125 GOF983057:GOF983125 GYB983057:GYB983125 HHX983057:HHX983125 HRT983057:HRT983125 IBP983057:IBP983125 ILL983057:ILL983125 IVH983057:IVH983125 JFD983057:JFD983125 JOZ983057:JOZ983125 JYV983057:JYV983125 KIR983057:KIR983125 KSN983057:KSN983125 LCJ983057:LCJ983125 LMF983057:LMF983125 LWB983057:LWB983125 MFX983057:MFX983125 MPT983057:MPT983125 MZP983057:MZP983125 NJL983057:NJL983125 NTH983057:NTH983125 ODD983057:ODD983125 OMZ983057:OMZ983125 OWV983057:OWV983125 PGR983057:PGR983125 PQN983057:PQN983125 QAJ983057:QAJ983125 QKF983057:QKF983125 QUB983057:QUB983125 RDX983057:RDX983125 RNT983057:RNT983125 RXP983057:RXP983125 SHL983057:SHL983125 SRH983057:SRH983125 TBD983057:TBD983125 TKZ983057:TKZ983125 TUV983057:TUV983125 UER983057:UER983125 UON983057:UON983125 UYJ983057:UYJ983125 VIF983057:VIF983125 VSB983057:VSB983125 WBX983057:WBX983125 WLT983057:WLT983125 WVP983057:WVP983125 D89:D96">
      <formula1>"-,SFP/人天,天/SFP,人天/SFP,个/页,个/SFP,条/SFP,个/条,%,次"</formula1>
    </dataValidation>
    <dataValidation type="list" allowBlank="1" showInputMessage="1" showErrorMessage="1" sqref="F3:F11 JB3:JB11 SX3:SX11 ACT3:ACT11 AMP3:AMP11 AWL3:AWL11 BGH3:BGH11 BQD3:BQD11 BZZ3:BZZ11 CJV3:CJV11 CTR3:CTR11 DDN3:DDN11 DNJ3:DNJ11 DXF3:DXF11 EHB3:EHB11 EQX3:EQX11 FAT3:FAT11 FKP3:FKP11 FUL3:FUL11 GEH3:GEH11 GOD3:GOD11 GXZ3:GXZ11 HHV3:HHV11 HRR3:HRR11 IBN3:IBN11 ILJ3:ILJ11 IVF3:IVF11 JFB3:JFB11 JOX3:JOX11 JYT3:JYT11 KIP3:KIP11 KSL3:KSL11 LCH3:LCH11 LMD3:LMD11 LVZ3:LVZ11 MFV3:MFV11 MPR3:MPR11 MZN3:MZN11 NJJ3:NJJ11 NTF3:NTF11 ODB3:ODB11 OMX3:OMX11 OWT3:OWT11 PGP3:PGP11 PQL3:PQL11 QAH3:QAH11 QKD3:QKD11 QTZ3:QTZ11 RDV3:RDV11 RNR3:RNR11 RXN3:RXN11 SHJ3:SHJ11 SRF3:SRF11 TBB3:TBB11 TKX3:TKX11 TUT3:TUT11 UEP3:UEP11 UOL3:UOL11 UYH3:UYH11 VID3:VID11 VRZ3:VRZ11 WBV3:WBV11 WLR3:WLR11 WVN3:WVN11 F65539:F65547 JB65539:JB65547 SX65539:SX65547 ACT65539:ACT65547 AMP65539:AMP65547 AWL65539:AWL65547 BGH65539:BGH65547 BQD65539:BQD65547 BZZ65539:BZZ65547 CJV65539:CJV65547 CTR65539:CTR65547 DDN65539:DDN65547 DNJ65539:DNJ65547 DXF65539:DXF65547 EHB65539:EHB65547 EQX65539:EQX65547 FAT65539:FAT65547 FKP65539:FKP65547 FUL65539:FUL65547 GEH65539:GEH65547 GOD65539:GOD65547 GXZ65539:GXZ65547 HHV65539:HHV65547 HRR65539:HRR65547 IBN65539:IBN65547 ILJ65539:ILJ65547 IVF65539:IVF65547 JFB65539:JFB65547 JOX65539:JOX65547 JYT65539:JYT65547 KIP65539:KIP65547 KSL65539:KSL65547 LCH65539:LCH65547 LMD65539:LMD65547 LVZ65539:LVZ65547 MFV65539:MFV65547 MPR65539:MPR65547 MZN65539:MZN65547 NJJ65539:NJJ65547 NTF65539:NTF65547 ODB65539:ODB65547 OMX65539:OMX65547 OWT65539:OWT65547 PGP65539:PGP65547 PQL65539:PQL65547 QAH65539:QAH65547 QKD65539:QKD65547 QTZ65539:QTZ65547 RDV65539:RDV65547 RNR65539:RNR65547 RXN65539:RXN65547 SHJ65539:SHJ65547 SRF65539:SRF65547 TBB65539:TBB65547 TKX65539:TKX65547 TUT65539:TUT65547 UEP65539:UEP65547 UOL65539:UOL65547 UYH65539:UYH65547 VID65539:VID65547 VRZ65539:VRZ65547 WBV65539:WBV65547 WLR65539:WLR65547 WVN65539:WVN65547 F131075:F131083 JB131075:JB131083 SX131075:SX131083 ACT131075:ACT131083 AMP131075:AMP131083 AWL131075:AWL131083 BGH131075:BGH131083 BQD131075:BQD131083 BZZ131075:BZZ131083 CJV131075:CJV131083 CTR131075:CTR131083 DDN131075:DDN131083 DNJ131075:DNJ131083 DXF131075:DXF131083 EHB131075:EHB131083 EQX131075:EQX131083 FAT131075:FAT131083 FKP131075:FKP131083 FUL131075:FUL131083 GEH131075:GEH131083 GOD131075:GOD131083 GXZ131075:GXZ131083 HHV131075:HHV131083 HRR131075:HRR131083 IBN131075:IBN131083 ILJ131075:ILJ131083 IVF131075:IVF131083 JFB131075:JFB131083 JOX131075:JOX131083 JYT131075:JYT131083 KIP131075:KIP131083 KSL131075:KSL131083 LCH131075:LCH131083 LMD131075:LMD131083 LVZ131075:LVZ131083 MFV131075:MFV131083 MPR131075:MPR131083 MZN131075:MZN131083 NJJ131075:NJJ131083 NTF131075:NTF131083 ODB131075:ODB131083 OMX131075:OMX131083 OWT131075:OWT131083 PGP131075:PGP131083 PQL131075:PQL131083 QAH131075:QAH131083 QKD131075:QKD131083 QTZ131075:QTZ131083 RDV131075:RDV131083 RNR131075:RNR131083 RXN131075:RXN131083 SHJ131075:SHJ131083 SRF131075:SRF131083 TBB131075:TBB131083 TKX131075:TKX131083 TUT131075:TUT131083 UEP131075:UEP131083 UOL131075:UOL131083 UYH131075:UYH131083 VID131075:VID131083 VRZ131075:VRZ131083 WBV131075:WBV131083 WLR131075:WLR131083 WVN131075:WVN131083 F196611:F196619 JB196611:JB196619 SX196611:SX196619 ACT196611:ACT196619 AMP196611:AMP196619 AWL196611:AWL196619 BGH196611:BGH196619 BQD196611:BQD196619 BZZ196611:BZZ196619 CJV196611:CJV196619 CTR196611:CTR196619 DDN196611:DDN196619 DNJ196611:DNJ196619 DXF196611:DXF196619 EHB196611:EHB196619 EQX196611:EQX196619 FAT196611:FAT196619 FKP196611:FKP196619 FUL196611:FUL196619 GEH196611:GEH196619 GOD196611:GOD196619 GXZ196611:GXZ196619 HHV196611:HHV196619 HRR196611:HRR196619 IBN196611:IBN196619 ILJ196611:ILJ196619 IVF196611:IVF196619 JFB196611:JFB196619 JOX196611:JOX196619 JYT196611:JYT196619 KIP196611:KIP196619 KSL196611:KSL196619 LCH196611:LCH196619 LMD196611:LMD196619 LVZ196611:LVZ196619 MFV196611:MFV196619 MPR196611:MPR196619 MZN196611:MZN196619 NJJ196611:NJJ196619 NTF196611:NTF196619 ODB196611:ODB196619 OMX196611:OMX196619 OWT196611:OWT196619 PGP196611:PGP196619 PQL196611:PQL196619 QAH196611:QAH196619 QKD196611:QKD196619 QTZ196611:QTZ196619 RDV196611:RDV196619 RNR196611:RNR196619 RXN196611:RXN196619 SHJ196611:SHJ196619 SRF196611:SRF196619 TBB196611:TBB196619 TKX196611:TKX196619 TUT196611:TUT196619 UEP196611:UEP196619 UOL196611:UOL196619 UYH196611:UYH196619 VID196611:VID196619 VRZ196611:VRZ196619 WBV196611:WBV196619 WLR196611:WLR196619 WVN196611:WVN196619 F262147:F262155 JB262147:JB262155 SX262147:SX262155 ACT262147:ACT262155 AMP262147:AMP262155 AWL262147:AWL262155 BGH262147:BGH262155 BQD262147:BQD262155 BZZ262147:BZZ262155 CJV262147:CJV262155 CTR262147:CTR262155 DDN262147:DDN262155 DNJ262147:DNJ262155 DXF262147:DXF262155 EHB262147:EHB262155 EQX262147:EQX262155 FAT262147:FAT262155 FKP262147:FKP262155 FUL262147:FUL262155 GEH262147:GEH262155 GOD262147:GOD262155 GXZ262147:GXZ262155 HHV262147:HHV262155 HRR262147:HRR262155 IBN262147:IBN262155 ILJ262147:ILJ262155 IVF262147:IVF262155 JFB262147:JFB262155 JOX262147:JOX262155 JYT262147:JYT262155 KIP262147:KIP262155 KSL262147:KSL262155 LCH262147:LCH262155 LMD262147:LMD262155 LVZ262147:LVZ262155 MFV262147:MFV262155 MPR262147:MPR262155 MZN262147:MZN262155 NJJ262147:NJJ262155 NTF262147:NTF262155 ODB262147:ODB262155 OMX262147:OMX262155 OWT262147:OWT262155 PGP262147:PGP262155 PQL262147:PQL262155 QAH262147:QAH262155 QKD262147:QKD262155 QTZ262147:QTZ262155 RDV262147:RDV262155 RNR262147:RNR262155 RXN262147:RXN262155 SHJ262147:SHJ262155 SRF262147:SRF262155 TBB262147:TBB262155 TKX262147:TKX262155 TUT262147:TUT262155 UEP262147:UEP262155 UOL262147:UOL262155 UYH262147:UYH262155 VID262147:VID262155 VRZ262147:VRZ262155 WBV262147:WBV262155 WLR262147:WLR262155 WVN262147:WVN262155 F327683:F327691 JB327683:JB327691 SX327683:SX327691 ACT327683:ACT327691 AMP327683:AMP327691 AWL327683:AWL327691 BGH327683:BGH327691 BQD327683:BQD327691 BZZ327683:BZZ327691 CJV327683:CJV327691 CTR327683:CTR327691 DDN327683:DDN327691 DNJ327683:DNJ327691 DXF327683:DXF327691 EHB327683:EHB327691 EQX327683:EQX327691 FAT327683:FAT327691 FKP327683:FKP327691 FUL327683:FUL327691 GEH327683:GEH327691 GOD327683:GOD327691 GXZ327683:GXZ327691 HHV327683:HHV327691 HRR327683:HRR327691 IBN327683:IBN327691 ILJ327683:ILJ327691 IVF327683:IVF327691 JFB327683:JFB327691 JOX327683:JOX327691 JYT327683:JYT327691 KIP327683:KIP327691 KSL327683:KSL327691 LCH327683:LCH327691 LMD327683:LMD327691 LVZ327683:LVZ327691 MFV327683:MFV327691 MPR327683:MPR327691 MZN327683:MZN327691 NJJ327683:NJJ327691 NTF327683:NTF327691 ODB327683:ODB327691 OMX327683:OMX327691 OWT327683:OWT327691 PGP327683:PGP327691 PQL327683:PQL327691 QAH327683:QAH327691 QKD327683:QKD327691 QTZ327683:QTZ327691 RDV327683:RDV327691 RNR327683:RNR327691 RXN327683:RXN327691 SHJ327683:SHJ327691 SRF327683:SRF327691 TBB327683:TBB327691 TKX327683:TKX327691 TUT327683:TUT327691 UEP327683:UEP327691 UOL327683:UOL327691 UYH327683:UYH327691 VID327683:VID327691 VRZ327683:VRZ327691 WBV327683:WBV327691 WLR327683:WLR327691 WVN327683:WVN327691 F393219:F393227 JB393219:JB393227 SX393219:SX393227 ACT393219:ACT393227 AMP393219:AMP393227 AWL393219:AWL393227 BGH393219:BGH393227 BQD393219:BQD393227 BZZ393219:BZZ393227 CJV393219:CJV393227 CTR393219:CTR393227 DDN393219:DDN393227 DNJ393219:DNJ393227 DXF393219:DXF393227 EHB393219:EHB393227 EQX393219:EQX393227 FAT393219:FAT393227 FKP393219:FKP393227 FUL393219:FUL393227 GEH393219:GEH393227 GOD393219:GOD393227 GXZ393219:GXZ393227 HHV393219:HHV393227 HRR393219:HRR393227 IBN393219:IBN393227 ILJ393219:ILJ393227 IVF393219:IVF393227 JFB393219:JFB393227 JOX393219:JOX393227 JYT393219:JYT393227 KIP393219:KIP393227 KSL393219:KSL393227 LCH393219:LCH393227 LMD393219:LMD393227 LVZ393219:LVZ393227 MFV393219:MFV393227 MPR393219:MPR393227 MZN393219:MZN393227 NJJ393219:NJJ393227 NTF393219:NTF393227 ODB393219:ODB393227 OMX393219:OMX393227 OWT393219:OWT393227 PGP393219:PGP393227 PQL393219:PQL393227 QAH393219:QAH393227 QKD393219:QKD393227 QTZ393219:QTZ393227 RDV393219:RDV393227 RNR393219:RNR393227 RXN393219:RXN393227 SHJ393219:SHJ393227 SRF393219:SRF393227 TBB393219:TBB393227 TKX393219:TKX393227 TUT393219:TUT393227 UEP393219:UEP393227 UOL393219:UOL393227 UYH393219:UYH393227 VID393219:VID393227 VRZ393219:VRZ393227 WBV393219:WBV393227 WLR393219:WLR393227 WVN393219:WVN393227 F458755:F458763 JB458755:JB458763 SX458755:SX458763 ACT458755:ACT458763 AMP458755:AMP458763 AWL458755:AWL458763 BGH458755:BGH458763 BQD458755:BQD458763 BZZ458755:BZZ458763 CJV458755:CJV458763 CTR458755:CTR458763 DDN458755:DDN458763 DNJ458755:DNJ458763 DXF458755:DXF458763 EHB458755:EHB458763 EQX458755:EQX458763 FAT458755:FAT458763 FKP458755:FKP458763 FUL458755:FUL458763 GEH458755:GEH458763 GOD458755:GOD458763 GXZ458755:GXZ458763 HHV458755:HHV458763 HRR458755:HRR458763 IBN458755:IBN458763 ILJ458755:ILJ458763 IVF458755:IVF458763 JFB458755:JFB458763 JOX458755:JOX458763 JYT458755:JYT458763 KIP458755:KIP458763 KSL458755:KSL458763 LCH458755:LCH458763 LMD458755:LMD458763 LVZ458755:LVZ458763 MFV458755:MFV458763 MPR458755:MPR458763 MZN458755:MZN458763 NJJ458755:NJJ458763 NTF458755:NTF458763 ODB458755:ODB458763 OMX458755:OMX458763 OWT458755:OWT458763 PGP458755:PGP458763 PQL458755:PQL458763 QAH458755:QAH458763 QKD458755:QKD458763 QTZ458755:QTZ458763 RDV458755:RDV458763 RNR458755:RNR458763 RXN458755:RXN458763 SHJ458755:SHJ458763 SRF458755:SRF458763 TBB458755:TBB458763 TKX458755:TKX458763 TUT458755:TUT458763 UEP458755:UEP458763 UOL458755:UOL458763 UYH458755:UYH458763 VID458755:VID458763 VRZ458755:VRZ458763 WBV458755:WBV458763 WLR458755:WLR458763 WVN458755:WVN458763 F524291:F524299 JB524291:JB524299 SX524291:SX524299 ACT524291:ACT524299 AMP524291:AMP524299 AWL524291:AWL524299 BGH524291:BGH524299 BQD524291:BQD524299 BZZ524291:BZZ524299 CJV524291:CJV524299 CTR524291:CTR524299 DDN524291:DDN524299 DNJ524291:DNJ524299 DXF524291:DXF524299 EHB524291:EHB524299 EQX524291:EQX524299 FAT524291:FAT524299 FKP524291:FKP524299 FUL524291:FUL524299 GEH524291:GEH524299 GOD524291:GOD524299 GXZ524291:GXZ524299 HHV524291:HHV524299 HRR524291:HRR524299 IBN524291:IBN524299 ILJ524291:ILJ524299 IVF524291:IVF524299 JFB524291:JFB524299 JOX524291:JOX524299 JYT524291:JYT524299 KIP524291:KIP524299 KSL524291:KSL524299 LCH524291:LCH524299 LMD524291:LMD524299 LVZ524291:LVZ524299 MFV524291:MFV524299 MPR524291:MPR524299 MZN524291:MZN524299 NJJ524291:NJJ524299 NTF524291:NTF524299 ODB524291:ODB524299 OMX524291:OMX524299 OWT524291:OWT524299 PGP524291:PGP524299 PQL524291:PQL524299 QAH524291:QAH524299 QKD524291:QKD524299 QTZ524291:QTZ524299 RDV524291:RDV524299 RNR524291:RNR524299 RXN524291:RXN524299 SHJ524291:SHJ524299 SRF524291:SRF524299 TBB524291:TBB524299 TKX524291:TKX524299 TUT524291:TUT524299 UEP524291:UEP524299 UOL524291:UOL524299 UYH524291:UYH524299 VID524291:VID524299 VRZ524291:VRZ524299 WBV524291:WBV524299 WLR524291:WLR524299 WVN524291:WVN524299 F589827:F589835 JB589827:JB589835 SX589827:SX589835 ACT589827:ACT589835 AMP589827:AMP589835 AWL589827:AWL589835 BGH589827:BGH589835 BQD589827:BQD589835 BZZ589827:BZZ589835 CJV589827:CJV589835 CTR589827:CTR589835 DDN589827:DDN589835 DNJ589827:DNJ589835 DXF589827:DXF589835 EHB589827:EHB589835 EQX589827:EQX589835 FAT589827:FAT589835 FKP589827:FKP589835 FUL589827:FUL589835 GEH589827:GEH589835 GOD589827:GOD589835 GXZ589827:GXZ589835 HHV589827:HHV589835 HRR589827:HRR589835 IBN589827:IBN589835 ILJ589827:ILJ589835 IVF589827:IVF589835 JFB589827:JFB589835 JOX589827:JOX589835 JYT589827:JYT589835 KIP589827:KIP589835 KSL589827:KSL589835 LCH589827:LCH589835 LMD589827:LMD589835 LVZ589827:LVZ589835 MFV589827:MFV589835 MPR589827:MPR589835 MZN589827:MZN589835 NJJ589827:NJJ589835 NTF589827:NTF589835 ODB589827:ODB589835 OMX589827:OMX589835 OWT589827:OWT589835 PGP589827:PGP589835 PQL589827:PQL589835 QAH589827:QAH589835 QKD589827:QKD589835 QTZ589827:QTZ589835 RDV589827:RDV589835 RNR589827:RNR589835 RXN589827:RXN589835 SHJ589827:SHJ589835 SRF589827:SRF589835 TBB589827:TBB589835 TKX589827:TKX589835 TUT589827:TUT589835 UEP589827:UEP589835 UOL589827:UOL589835 UYH589827:UYH589835 VID589827:VID589835 VRZ589827:VRZ589835 WBV589827:WBV589835 WLR589827:WLR589835 WVN589827:WVN589835 F655363:F655371 JB655363:JB655371 SX655363:SX655371 ACT655363:ACT655371 AMP655363:AMP655371 AWL655363:AWL655371 BGH655363:BGH655371 BQD655363:BQD655371 BZZ655363:BZZ655371 CJV655363:CJV655371 CTR655363:CTR655371 DDN655363:DDN655371 DNJ655363:DNJ655371 DXF655363:DXF655371 EHB655363:EHB655371 EQX655363:EQX655371 FAT655363:FAT655371 FKP655363:FKP655371 FUL655363:FUL655371 GEH655363:GEH655371 GOD655363:GOD655371 GXZ655363:GXZ655371 HHV655363:HHV655371 HRR655363:HRR655371 IBN655363:IBN655371 ILJ655363:ILJ655371 IVF655363:IVF655371 JFB655363:JFB655371 JOX655363:JOX655371 JYT655363:JYT655371 KIP655363:KIP655371 KSL655363:KSL655371 LCH655363:LCH655371 LMD655363:LMD655371 LVZ655363:LVZ655371 MFV655363:MFV655371 MPR655363:MPR655371 MZN655363:MZN655371 NJJ655363:NJJ655371 NTF655363:NTF655371 ODB655363:ODB655371 OMX655363:OMX655371 OWT655363:OWT655371 PGP655363:PGP655371 PQL655363:PQL655371 QAH655363:QAH655371 QKD655363:QKD655371 QTZ655363:QTZ655371 RDV655363:RDV655371 RNR655363:RNR655371 RXN655363:RXN655371 SHJ655363:SHJ655371 SRF655363:SRF655371 TBB655363:TBB655371 TKX655363:TKX655371 TUT655363:TUT655371 UEP655363:UEP655371 UOL655363:UOL655371 UYH655363:UYH655371 VID655363:VID655371 VRZ655363:VRZ655371 WBV655363:WBV655371 WLR655363:WLR655371 WVN655363:WVN655371 F720899:F720907 JB720899:JB720907 SX720899:SX720907 ACT720899:ACT720907 AMP720899:AMP720907 AWL720899:AWL720907 BGH720899:BGH720907 BQD720899:BQD720907 BZZ720899:BZZ720907 CJV720899:CJV720907 CTR720899:CTR720907 DDN720899:DDN720907 DNJ720899:DNJ720907 DXF720899:DXF720907 EHB720899:EHB720907 EQX720899:EQX720907 FAT720899:FAT720907 FKP720899:FKP720907 FUL720899:FUL720907 GEH720899:GEH720907 GOD720899:GOD720907 GXZ720899:GXZ720907 HHV720899:HHV720907 HRR720899:HRR720907 IBN720899:IBN720907 ILJ720899:ILJ720907 IVF720899:IVF720907 JFB720899:JFB720907 JOX720899:JOX720907 JYT720899:JYT720907 KIP720899:KIP720907 KSL720899:KSL720907 LCH720899:LCH720907 LMD720899:LMD720907 LVZ720899:LVZ720907 MFV720899:MFV720907 MPR720899:MPR720907 MZN720899:MZN720907 NJJ720899:NJJ720907 NTF720899:NTF720907 ODB720899:ODB720907 OMX720899:OMX720907 OWT720899:OWT720907 PGP720899:PGP720907 PQL720899:PQL720907 QAH720899:QAH720907 QKD720899:QKD720907 QTZ720899:QTZ720907 RDV720899:RDV720907 RNR720899:RNR720907 RXN720899:RXN720907 SHJ720899:SHJ720907 SRF720899:SRF720907 TBB720899:TBB720907 TKX720899:TKX720907 TUT720899:TUT720907 UEP720899:UEP720907 UOL720899:UOL720907 UYH720899:UYH720907 VID720899:VID720907 VRZ720899:VRZ720907 WBV720899:WBV720907 WLR720899:WLR720907 WVN720899:WVN720907 F786435:F786443 JB786435:JB786443 SX786435:SX786443 ACT786435:ACT786443 AMP786435:AMP786443 AWL786435:AWL786443 BGH786435:BGH786443 BQD786435:BQD786443 BZZ786435:BZZ786443 CJV786435:CJV786443 CTR786435:CTR786443 DDN786435:DDN786443 DNJ786435:DNJ786443 DXF786435:DXF786443 EHB786435:EHB786443 EQX786435:EQX786443 FAT786435:FAT786443 FKP786435:FKP786443 FUL786435:FUL786443 GEH786435:GEH786443 GOD786435:GOD786443 GXZ786435:GXZ786443 HHV786435:HHV786443 HRR786435:HRR786443 IBN786435:IBN786443 ILJ786435:ILJ786443 IVF786435:IVF786443 JFB786435:JFB786443 JOX786435:JOX786443 JYT786435:JYT786443 KIP786435:KIP786443 KSL786435:KSL786443 LCH786435:LCH786443 LMD786435:LMD786443 LVZ786435:LVZ786443 MFV786435:MFV786443 MPR786435:MPR786443 MZN786435:MZN786443 NJJ786435:NJJ786443 NTF786435:NTF786443 ODB786435:ODB786443 OMX786435:OMX786443 OWT786435:OWT786443 PGP786435:PGP786443 PQL786435:PQL786443 QAH786435:QAH786443 QKD786435:QKD786443 QTZ786435:QTZ786443 RDV786435:RDV786443 RNR786435:RNR786443 RXN786435:RXN786443 SHJ786435:SHJ786443 SRF786435:SRF786443 TBB786435:TBB786443 TKX786435:TKX786443 TUT786435:TUT786443 UEP786435:UEP786443 UOL786435:UOL786443 UYH786435:UYH786443 VID786435:VID786443 VRZ786435:VRZ786443 WBV786435:WBV786443 WLR786435:WLR786443 WVN786435:WVN786443 F851971:F851979 JB851971:JB851979 SX851971:SX851979 ACT851971:ACT851979 AMP851971:AMP851979 AWL851971:AWL851979 BGH851971:BGH851979 BQD851971:BQD851979 BZZ851971:BZZ851979 CJV851971:CJV851979 CTR851971:CTR851979 DDN851971:DDN851979 DNJ851971:DNJ851979 DXF851971:DXF851979 EHB851971:EHB851979 EQX851971:EQX851979 FAT851971:FAT851979 FKP851971:FKP851979 FUL851971:FUL851979 GEH851971:GEH851979 GOD851971:GOD851979 GXZ851971:GXZ851979 HHV851971:HHV851979 HRR851971:HRR851979 IBN851971:IBN851979 ILJ851971:ILJ851979 IVF851971:IVF851979 JFB851971:JFB851979 JOX851971:JOX851979 JYT851971:JYT851979 KIP851971:KIP851979 KSL851971:KSL851979 LCH851971:LCH851979 LMD851971:LMD851979 LVZ851971:LVZ851979 MFV851971:MFV851979 MPR851971:MPR851979 MZN851971:MZN851979 NJJ851971:NJJ851979 NTF851971:NTF851979 ODB851971:ODB851979 OMX851971:OMX851979 OWT851971:OWT851979 PGP851971:PGP851979 PQL851971:PQL851979 QAH851971:QAH851979 QKD851971:QKD851979 QTZ851971:QTZ851979 RDV851971:RDV851979 RNR851971:RNR851979 RXN851971:RXN851979 SHJ851971:SHJ851979 SRF851971:SRF851979 TBB851971:TBB851979 TKX851971:TKX851979 TUT851971:TUT851979 UEP851971:UEP851979 UOL851971:UOL851979 UYH851971:UYH851979 VID851971:VID851979 VRZ851971:VRZ851979 WBV851971:WBV851979 WLR851971:WLR851979 WVN851971:WVN851979 F917507:F917515 JB917507:JB917515 SX917507:SX917515 ACT917507:ACT917515 AMP917507:AMP917515 AWL917507:AWL917515 BGH917507:BGH917515 BQD917507:BQD917515 BZZ917507:BZZ917515 CJV917507:CJV917515 CTR917507:CTR917515 DDN917507:DDN917515 DNJ917507:DNJ917515 DXF917507:DXF917515 EHB917507:EHB917515 EQX917507:EQX917515 FAT917507:FAT917515 FKP917507:FKP917515 FUL917507:FUL917515 GEH917507:GEH917515 GOD917507:GOD917515 GXZ917507:GXZ917515 HHV917507:HHV917515 HRR917507:HRR917515 IBN917507:IBN917515 ILJ917507:ILJ917515 IVF917507:IVF917515 JFB917507:JFB917515 JOX917507:JOX917515 JYT917507:JYT917515 KIP917507:KIP917515 KSL917507:KSL917515 LCH917507:LCH917515 LMD917507:LMD917515 LVZ917507:LVZ917515 MFV917507:MFV917515 MPR917507:MPR917515 MZN917507:MZN917515 NJJ917507:NJJ917515 NTF917507:NTF917515 ODB917507:ODB917515 OMX917507:OMX917515 OWT917507:OWT917515 PGP917507:PGP917515 PQL917507:PQL917515 QAH917507:QAH917515 QKD917507:QKD917515 QTZ917507:QTZ917515 RDV917507:RDV917515 RNR917507:RNR917515 RXN917507:RXN917515 SHJ917507:SHJ917515 SRF917507:SRF917515 TBB917507:TBB917515 TKX917507:TKX917515 TUT917507:TUT917515 UEP917507:UEP917515 UOL917507:UOL917515 UYH917507:UYH917515 VID917507:VID917515 VRZ917507:VRZ917515 WBV917507:WBV917515 WLR917507:WLR917515 WVN917507:WVN917515 F983043:F983051 JB983043:JB983051 SX983043:SX983051 ACT983043:ACT983051 AMP983043:AMP983051 AWL983043:AWL983051 BGH983043:BGH983051 BQD983043:BQD983051 BZZ983043:BZZ983051 CJV983043:CJV983051 CTR983043:CTR983051 DDN983043:DDN983051 DNJ983043:DNJ983051 DXF983043:DXF983051 EHB983043:EHB983051 EQX983043:EQX983051 FAT983043:FAT983051 FKP983043:FKP983051 FUL983043:FUL983051 GEH983043:GEH983051 GOD983043:GOD983051 GXZ983043:GXZ983051 HHV983043:HHV983051 HRR983043:HRR983051 IBN983043:IBN983051 ILJ983043:ILJ983051 IVF983043:IVF983051 JFB983043:JFB983051 JOX983043:JOX983051 JYT983043:JYT983051 KIP983043:KIP983051 KSL983043:KSL983051 LCH983043:LCH983051 LMD983043:LMD983051 LVZ983043:LVZ983051 MFV983043:MFV983051 MPR983043:MPR983051 MZN983043:MZN983051 NJJ983043:NJJ983051 NTF983043:NTF983051 ODB983043:ODB983051 OMX983043:OMX983051 OWT983043:OWT983051 PGP983043:PGP983051 PQL983043:PQL983051 QAH983043:QAH983051 QKD983043:QKD983051 QTZ983043:QTZ983051 RDV983043:RDV983051 RNR983043:RNR983051 RXN983043:RXN983051 SHJ983043:SHJ983051 SRF983043:SRF983051 TBB983043:TBB983051 TKX983043:TKX983051 TUT983043:TUT983051 UEP983043:UEP983051 UOL983043:UOL983051 UYH983043:UYH983051 VID983043:VID983051 VRZ983043:VRZ983051 WBV983043:WBV983051 WLR983043:WLR983051 WVN983043:WVN983051">
      <formula1>"高,中,低"</formula1>
    </dataValidation>
    <dataValidation type="list" allowBlank="1" showInputMessage="1" showErrorMessage="1" sqref="E87 JA87 SW87 ACS87 AMO87 AWK87 BGG87 BQC87 BZY87 CJU87 CTQ87 DDM87 DNI87 DXE87 EHA87 EQW87 FAS87 FKO87 FUK87 GEG87 GOC87 GXY87 HHU87 HRQ87 IBM87 ILI87 IVE87 JFA87 JOW87 JYS87 KIO87 KSK87 LCG87 LMC87 LVY87 MFU87 MPQ87 MZM87 NJI87 NTE87 ODA87 OMW87 OWS87 PGO87 PQK87 QAG87 QKC87 QTY87 RDU87 RNQ87 RXM87 SHI87 SRE87 TBA87 TKW87 TUS87 UEO87 UOK87 UYG87 VIC87 VRY87 WBU87 WLQ87 WVM87 E65622 JA65622 SW65622 ACS65622 AMO65622 AWK65622 BGG65622 BQC65622 BZY65622 CJU65622 CTQ65622 DDM65622 DNI65622 DXE65622 EHA65622 EQW65622 FAS65622 FKO65622 FUK65622 GEG65622 GOC65622 GXY65622 HHU65622 HRQ65622 IBM65622 ILI65622 IVE65622 JFA65622 JOW65622 JYS65622 KIO65622 KSK65622 LCG65622 LMC65622 LVY65622 MFU65622 MPQ65622 MZM65622 NJI65622 NTE65622 ODA65622 OMW65622 OWS65622 PGO65622 PQK65622 QAG65622 QKC65622 QTY65622 RDU65622 RNQ65622 RXM65622 SHI65622 SRE65622 TBA65622 TKW65622 TUS65622 UEO65622 UOK65622 UYG65622 VIC65622 VRY65622 WBU65622 WLQ65622 WVM65622 E131158 JA131158 SW131158 ACS131158 AMO131158 AWK131158 BGG131158 BQC131158 BZY131158 CJU131158 CTQ131158 DDM131158 DNI131158 DXE131158 EHA131158 EQW131158 FAS131158 FKO131158 FUK131158 GEG131158 GOC131158 GXY131158 HHU131158 HRQ131158 IBM131158 ILI131158 IVE131158 JFA131158 JOW131158 JYS131158 KIO131158 KSK131158 LCG131158 LMC131158 LVY131158 MFU131158 MPQ131158 MZM131158 NJI131158 NTE131158 ODA131158 OMW131158 OWS131158 PGO131158 PQK131158 QAG131158 QKC131158 QTY131158 RDU131158 RNQ131158 RXM131158 SHI131158 SRE131158 TBA131158 TKW131158 TUS131158 UEO131158 UOK131158 UYG131158 VIC131158 VRY131158 WBU131158 WLQ131158 WVM131158 E196694 JA196694 SW196694 ACS196694 AMO196694 AWK196694 BGG196694 BQC196694 BZY196694 CJU196694 CTQ196694 DDM196694 DNI196694 DXE196694 EHA196694 EQW196694 FAS196694 FKO196694 FUK196694 GEG196694 GOC196694 GXY196694 HHU196694 HRQ196694 IBM196694 ILI196694 IVE196694 JFA196694 JOW196694 JYS196694 KIO196694 KSK196694 LCG196694 LMC196694 LVY196694 MFU196694 MPQ196694 MZM196694 NJI196694 NTE196694 ODA196694 OMW196694 OWS196694 PGO196694 PQK196694 QAG196694 QKC196694 QTY196694 RDU196694 RNQ196694 RXM196694 SHI196694 SRE196694 TBA196694 TKW196694 TUS196694 UEO196694 UOK196694 UYG196694 VIC196694 VRY196694 WBU196694 WLQ196694 WVM196694 E262230 JA262230 SW262230 ACS262230 AMO262230 AWK262230 BGG262230 BQC262230 BZY262230 CJU262230 CTQ262230 DDM262230 DNI262230 DXE262230 EHA262230 EQW262230 FAS262230 FKO262230 FUK262230 GEG262230 GOC262230 GXY262230 HHU262230 HRQ262230 IBM262230 ILI262230 IVE262230 JFA262230 JOW262230 JYS262230 KIO262230 KSK262230 LCG262230 LMC262230 LVY262230 MFU262230 MPQ262230 MZM262230 NJI262230 NTE262230 ODA262230 OMW262230 OWS262230 PGO262230 PQK262230 QAG262230 QKC262230 QTY262230 RDU262230 RNQ262230 RXM262230 SHI262230 SRE262230 TBA262230 TKW262230 TUS262230 UEO262230 UOK262230 UYG262230 VIC262230 VRY262230 WBU262230 WLQ262230 WVM262230 E327766 JA327766 SW327766 ACS327766 AMO327766 AWK327766 BGG327766 BQC327766 BZY327766 CJU327766 CTQ327766 DDM327766 DNI327766 DXE327766 EHA327766 EQW327766 FAS327766 FKO327766 FUK327766 GEG327766 GOC327766 GXY327766 HHU327766 HRQ327766 IBM327766 ILI327766 IVE327766 JFA327766 JOW327766 JYS327766 KIO327766 KSK327766 LCG327766 LMC327766 LVY327766 MFU327766 MPQ327766 MZM327766 NJI327766 NTE327766 ODA327766 OMW327766 OWS327766 PGO327766 PQK327766 QAG327766 QKC327766 QTY327766 RDU327766 RNQ327766 RXM327766 SHI327766 SRE327766 TBA327766 TKW327766 TUS327766 UEO327766 UOK327766 UYG327766 VIC327766 VRY327766 WBU327766 WLQ327766 WVM327766 E393302 JA393302 SW393302 ACS393302 AMO393302 AWK393302 BGG393302 BQC393302 BZY393302 CJU393302 CTQ393302 DDM393302 DNI393302 DXE393302 EHA393302 EQW393302 FAS393302 FKO393302 FUK393302 GEG393302 GOC393302 GXY393302 HHU393302 HRQ393302 IBM393302 ILI393302 IVE393302 JFA393302 JOW393302 JYS393302 KIO393302 KSK393302 LCG393302 LMC393302 LVY393302 MFU393302 MPQ393302 MZM393302 NJI393302 NTE393302 ODA393302 OMW393302 OWS393302 PGO393302 PQK393302 QAG393302 QKC393302 QTY393302 RDU393302 RNQ393302 RXM393302 SHI393302 SRE393302 TBA393302 TKW393302 TUS393302 UEO393302 UOK393302 UYG393302 VIC393302 VRY393302 WBU393302 WLQ393302 WVM393302 E458838 JA458838 SW458838 ACS458838 AMO458838 AWK458838 BGG458838 BQC458838 BZY458838 CJU458838 CTQ458838 DDM458838 DNI458838 DXE458838 EHA458838 EQW458838 FAS458838 FKO458838 FUK458838 GEG458838 GOC458838 GXY458838 HHU458838 HRQ458838 IBM458838 ILI458838 IVE458838 JFA458838 JOW458838 JYS458838 KIO458838 KSK458838 LCG458838 LMC458838 LVY458838 MFU458838 MPQ458838 MZM458838 NJI458838 NTE458838 ODA458838 OMW458838 OWS458838 PGO458838 PQK458838 QAG458838 QKC458838 QTY458838 RDU458838 RNQ458838 RXM458838 SHI458838 SRE458838 TBA458838 TKW458838 TUS458838 UEO458838 UOK458838 UYG458838 VIC458838 VRY458838 WBU458838 WLQ458838 WVM458838 E524374 JA524374 SW524374 ACS524374 AMO524374 AWK524374 BGG524374 BQC524374 BZY524374 CJU524374 CTQ524374 DDM524374 DNI524374 DXE524374 EHA524374 EQW524374 FAS524374 FKO524374 FUK524374 GEG524374 GOC524374 GXY524374 HHU524374 HRQ524374 IBM524374 ILI524374 IVE524374 JFA524374 JOW524374 JYS524374 KIO524374 KSK524374 LCG524374 LMC524374 LVY524374 MFU524374 MPQ524374 MZM524374 NJI524374 NTE524374 ODA524374 OMW524374 OWS524374 PGO524374 PQK524374 QAG524374 QKC524374 QTY524374 RDU524374 RNQ524374 RXM524374 SHI524374 SRE524374 TBA524374 TKW524374 TUS524374 UEO524374 UOK524374 UYG524374 VIC524374 VRY524374 WBU524374 WLQ524374 WVM524374 E589910 JA589910 SW589910 ACS589910 AMO589910 AWK589910 BGG589910 BQC589910 BZY589910 CJU589910 CTQ589910 DDM589910 DNI589910 DXE589910 EHA589910 EQW589910 FAS589910 FKO589910 FUK589910 GEG589910 GOC589910 GXY589910 HHU589910 HRQ589910 IBM589910 ILI589910 IVE589910 JFA589910 JOW589910 JYS589910 KIO589910 KSK589910 LCG589910 LMC589910 LVY589910 MFU589910 MPQ589910 MZM589910 NJI589910 NTE589910 ODA589910 OMW589910 OWS589910 PGO589910 PQK589910 QAG589910 QKC589910 QTY589910 RDU589910 RNQ589910 RXM589910 SHI589910 SRE589910 TBA589910 TKW589910 TUS589910 UEO589910 UOK589910 UYG589910 VIC589910 VRY589910 WBU589910 WLQ589910 WVM589910 E655446 JA655446 SW655446 ACS655446 AMO655446 AWK655446 BGG655446 BQC655446 BZY655446 CJU655446 CTQ655446 DDM655446 DNI655446 DXE655446 EHA655446 EQW655446 FAS655446 FKO655446 FUK655446 GEG655446 GOC655446 GXY655446 HHU655446 HRQ655446 IBM655446 ILI655446 IVE655446 JFA655446 JOW655446 JYS655446 KIO655446 KSK655446 LCG655446 LMC655446 LVY655446 MFU655446 MPQ655446 MZM655446 NJI655446 NTE655446 ODA655446 OMW655446 OWS655446 PGO655446 PQK655446 QAG655446 QKC655446 QTY655446 RDU655446 RNQ655446 RXM655446 SHI655446 SRE655446 TBA655446 TKW655446 TUS655446 UEO655446 UOK655446 UYG655446 VIC655446 VRY655446 WBU655446 WLQ655446 WVM655446 E720982 JA720982 SW720982 ACS720982 AMO720982 AWK720982 BGG720982 BQC720982 BZY720982 CJU720982 CTQ720982 DDM720982 DNI720982 DXE720982 EHA720982 EQW720982 FAS720982 FKO720982 FUK720982 GEG720982 GOC720982 GXY720982 HHU720982 HRQ720982 IBM720982 ILI720982 IVE720982 JFA720982 JOW720982 JYS720982 KIO720982 KSK720982 LCG720982 LMC720982 LVY720982 MFU720982 MPQ720982 MZM720982 NJI720982 NTE720982 ODA720982 OMW720982 OWS720982 PGO720982 PQK720982 QAG720982 QKC720982 QTY720982 RDU720982 RNQ720982 RXM720982 SHI720982 SRE720982 TBA720982 TKW720982 TUS720982 UEO720982 UOK720982 UYG720982 VIC720982 VRY720982 WBU720982 WLQ720982 WVM720982 E786518 JA786518 SW786518 ACS786518 AMO786518 AWK786518 BGG786518 BQC786518 BZY786518 CJU786518 CTQ786518 DDM786518 DNI786518 DXE786518 EHA786518 EQW786518 FAS786518 FKO786518 FUK786518 GEG786518 GOC786518 GXY786518 HHU786518 HRQ786518 IBM786518 ILI786518 IVE786518 JFA786518 JOW786518 JYS786518 KIO786518 KSK786518 LCG786518 LMC786518 LVY786518 MFU786518 MPQ786518 MZM786518 NJI786518 NTE786518 ODA786518 OMW786518 OWS786518 PGO786518 PQK786518 QAG786518 QKC786518 QTY786518 RDU786518 RNQ786518 RXM786518 SHI786518 SRE786518 TBA786518 TKW786518 TUS786518 UEO786518 UOK786518 UYG786518 VIC786518 VRY786518 WBU786518 WLQ786518 WVM786518 E852054 JA852054 SW852054 ACS852054 AMO852054 AWK852054 BGG852054 BQC852054 BZY852054 CJU852054 CTQ852054 DDM852054 DNI852054 DXE852054 EHA852054 EQW852054 FAS852054 FKO852054 FUK852054 GEG852054 GOC852054 GXY852054 HHU852054 HRQ852054 IBM852054 ILI852054 IVE852054 JFA852054 JOW852054 JYS852054 KIO852054 KSK852054 LCG852054 LMC852054 LVY852054 MFU852054 MPQ852054 MZM852054 NJI852054 NTE852054 ODA852054 OMW852054 OWS852054 PGO852054 PQK852054 QAG852054 QKC852054 QTY852054 RDU852054 RNQ852054 RXM852054 SHI852054 SRE852054 TBA852054 TKW852054 TUS852054 UEO852054 UOK852054 UYG852054 VIC852054 VRY852054 WBU852054 WLQ852054 WVM852054 E917590 JA917590 SW917590 ACS917590 AMO917590 AWK917590 BGG917590 BQC917590 BZY917590 CJU917590 CTQ917590 DDM917590 DNI917590 DXE917590 EHA917590 EQW917590 FAS917590 FKO917590 FUK917590 GEG917590 GOC917590 GXY917590 HHU917590 HRQ917590 IBM917590 ILI917590 IVE917590 JFA917590 JOW917590 JYS917590 KIO917590 KSK917590 LCG917590 LMC917590 LVY917590 MFU917590 MPQ917590 MZM917590 NJI917590 NTE917590 ODA917590 OMW917590 OWS917590 PGO917590 PQK917590 QAG917590 QKC917590 QTY917590 RDU917590 RNQ917590 RXM917590 SHI917590 SRE917590 TBA917590 TKW917590 TUS917590 UEO917590 UOK917590 UYG917590 VIC917590 VRY917590 WBU917590 WLQ917590 WVM917590 E983126 JA983126 SW983126 ACS983126 AMO983126 AWK983126 BGG983126 BQC983126 BZY983126 CJU983126 CTQ983126 DDM983126 DNI983126 DXE983126 EHA983126 EQW983126 FAS983126 FKO983126 FUK983126 GEG983126 GOC983126 GXY983126 HHU983126 HRQ983126 IBM983126 ILI983126 IVE983126 JFA983126 JOW983126 JYS983126 KIO983126 KSK983126 LCG983126 LMC983126 LVY983126 MFU983126 MPQ983126 MZM983126 NJI983126 NTE983126 ODA983126 OMW983126 OWS983126 PGO983126 PQK983126 QAG983126 QKC983126 QTY983126 RDU983126 RNQ983126 RXM983126 SHI983126 SRE983126 TBA983126 TKW983126 TUS983126 UEO983126 UOK983126 UYG983126 VIC983126 VRY983126 WBU983126 WLQ983126 WVM983126 E89:E92 JA89:JA92 SW89:SW92 ACS89:ACS92 AMO89:AMO92 AWK89:AWK92 BGG89:BGG92 BQC89:BQC92 BZY89:BZY92 CJU89:CJU92 CTQ89:CTQ92 DDM89:DDM92 DNI89:DNI92 DXE89:DXE92 EHA89:EHA92 EQW89:EQW92 FAS89:FAS92 FKO89:FKO92 FUK89:FUK92 GEG89:GEG92 GOC89:GOC92 GXY89:GXY92 HHU89:HHU92 HRQ89:HRQ92 IBM89:IBM92 ILI89:ILI92 IVE89:IVE92 JFA89:JFA92 JOW89:JOW92 JYS89:JYS92 KIO89:KIO92 KSK89:KSK92 LCG89:LCG92 LMC89:LMC92 LVY89:LVY92 MFU89:MFU92 MPQ89:MPQ92 MZM89:MZM92 NJI89:NJI92 NTE89:NTE92 ODA89:ODA92 OMW89:OMW92 OWS89:OWS92 PGO89:PGO92 PQK89:PQK92 QAG89:QAG92 QKC89:QKC92 QTY89:QTY92 RDU89:RDU92 RNQ89:RNQ92 RXM89:RXM92 SHI89:SHI92 SRE89:SRE92 TBA89:TBA92 TKW89:TKW92 TUS89:TUS92 UEO89:UEO92 UOK89:UOK92 UYG89:UYG92 VIC89:VIC92 VRY89:VRY92 WBU89:WBU92 WLQ89:WLQ92 WVM89:WVM92 E65624:E65627 JA65624:JA65627 SW65624:SW65627 ACS65624:ACS65627 AMO65624:AMO65627 AWK65624:AWK65627 BGG65624:BGG65627 BQC65624:BQC65627 BZY65624:BZY65627 CJU65624:CJU65627 CTQ65624:CTQ65627 DDM65624:DDM65627 DNI65624:DNI65627 DXE65624:DXE65627 EHA65624:EHA65627 EQW65624:EQW65627 FAS65624:FAS65627 FKO65624:FKO65627 FUK65624:FUK65627 GEG65624:GEG65627 GOC65624:GOC65627 GXY65624:GXY65627 HHU65624:HHU65627 HRQ65624:HRQ65627 IBM65624:IBM65627 ILI65624:ILI65627 IVE65624:IVE65627 JFA65624:JFA65627 JOW65624:JOW65627 JYS65624:JYS65627 KIO65624:KIO65627 KSK65624:KSK65627 LCG65624:LCG65627 LMC65624:LMC65627 LVY65624:LVY65627 MFU65624:MFU65627 MPQ65624:MPQ65627 MZM65624:MZM65627 NJI65624:NJI65627 NTE65624:NTE65627 ODA65624:ODA65627 OMW65624:OMW65627 OWS65624:OWS65627 PGO65624:PGO65627 PQK65624:PQK65627 QAG65624:QAG65627 QKC65624:QKC65627 QTY65624:QTY65627 RDU65624:RDU65627 RNQ65624:RNQ65627 RXM65624:RXM65627 SHI65624:SHI65627 SRE65624:SRE65627 TBA65624:TBA65627 TKW65624:TKW65627 TUS65624:TUS65627 UEO65624:UEO65627 UOK65624:UOK65627 UYG65624:UYG65627 VIC65624:VIC65627 VRY65624:VRY65627 WBU65624:WBU65627 WLQ65624:WLQ65627 WVM65624:WVM65627 E131160:E131163 JA131160:JA131163 SW131160:SW131163 ACS131160:ACS131163 AMO131160:AMO131163 AWK131160:AWK131163 BGG131160:BGG131163 BQC131160:BQC131163 BZY131160:BZY131163 CJU131160:CJU131163 CTQ131160:CTQ131163 DDM131160:DDM131163 DNI131160:DNI131163 DXE131160:DXE131163 EHA131160:EHA131163 EQW131160:EQW131163 FAS131160:FAS131163 FKO131160:FKO131163 FUK131160:FUK131163 GEG131160:GEG131163 GOC131160:GOC131163 GXY131160:GXY131163 HHU131160:HHU131163 HRQ131160:HRQ131163 IBM131160:IBM131163 ILI131160:ILI131163 IVE131160:IVE131163 JFA131160:JFA131163 JOW131160:JOW131163 JYS131160:JYS131163 KIO131160:KIO131163 KSK131160:KSK131163 LCG131160:LCG131163 LMC131160:LMC131163 LVY131160:LVY131163 MFU131160:MFU131163 MPQ131160:MPQ131163 MZM131160:MZM131163 NJI131160:NJI131163 NTE131160:NTE131163 ODA131160:ODA131163 OMW131160:OMW131163 OWS131160:OWS131163 PGO131160:PGO131163 PQK131160:PQK131163 QAG131160:QAG131163 QKC131160:QKC131163 QTY131160:QTY131163 RDU131160:RDU131163 RNQ131160:RNQ131163 RXM131160:RXM131163 SHI131160:SHI131163 SRE131160:SRE131163 TBA131160:TBA131163 TKW131160:TKW131163 TUS131160:TUS131163 UEO131160:UEO131163 UOK131160:UOK131163 UYG131160:UYG131163 VIC131160:VIC131163 VRY131160:VRY131163 WBU131160:WBU131163 WLQ131160:WLQ131163 WVM131160:WVM131163 E196696:E196699 JA196696:JA196699 SW196696:SW196699 ACS196696:ACS196699 AMO196696:AMO196699 AWK196696:AWK196699 BGG196696:BGG196699 BQC196696:BQC196699 BZY196696:BZY196699 CJU196696:CJU196699 CTQ196696:CTQ196699 DDM196696:DDM196699 DNI196696:DNI196699 DXE196696:DXE196699 EHA196696:EHA196699 EQW196696:EQW196699 FAS196696:FAS196699 FKO196696:FKO196699 FUK196696:FUK196699 GEG196696:GEG196699 GOC196696:GOC196699 GXY196696:GXY196699 HHU196696:HHU196699 HRQ196696:HRQ196699 IBM196696:IBM196699 ILI196696:ILI196699 IVE196696:IVE196699 JFA196696:JFA196699 JOW196696:JOW196699 JYS196696:JYS196699 KIO196696:KIO196699 KSK196696:KSK196699 LCG196696:LCG196699 LMC196696:LMC196699 LVY196696:LVY196699 MFU196696:MFU196699 MPQ196696:MPQ196699 MZM196696:MZM196699 NJI196696:NJI196699 NTE196696:NTE196699 ODA196696:ODA196699 OMW196696:OMW196699 OWS196696:OWS196699 PGO196696:PGO196699 PQK196696:PQK196699 QAG196696:QAG196699 QKC196696:QKC196699 QTY196696:QTY196699 RDU196696:RDU196699 RNQ196696:RNQ196699 RXM196696:RXM196699 SHI196696:SHI196699 SRE196696:SRE196699 TBA196696:TBA196699 TKW196696:TKW196699 TUS196696:TUS196699 UEO196696:UEO196699 UOK196696:UOK196699 UYG196696:UYG196699 VIC196696:VIC196699 VRY196696:VRY196699 WBU196696:WBU196699 WLQ196696:WLQ196699 WVM196696:WVM196699 E262232:E262235 JA262232:JA262235 SW262232:SW262235 ACS262232:ACS262235 AMO262232:AMO262235 AWK262232:AWK262235 BGG262232:BGG262235 BQC262232:BQC262235 BZY262232:BZY262235 CJU262232:CJU262235 CTQ262232:CTQ262235 DDM262232:DDM262235 DNI262232:DNI262235 DXE262232:DXE262235 EHA262232:EHA262235 EQW262232:EQW262235 FAS262232:FAS262235 FKO262232:FKO262235 FUK262232:FUK262235 GEG262232:GEG262235 GOC262232:GOC262235 GXY262232:GXY262235 HHU262232:HHU262235 HRQ262232:HRQ262235 IBM262232:IBM262235 ILI262232:ILI262235 IVE262232:IVE262235 JFA262232:JFA262235 JOW262232:JOW262235 JYS262232:JYS262235 KIO262232:KIO262235 KSK262232:KSK262235 LCG262232:LCG262235 LMC262232:LMC262235 LVY262232:LVY262235 MFU262232:MFU262235 MPQ262232:MPQ262235 MZM262232:MZM262235 NJI262232:NJI262235 NTE262232:NTE262235 ODA262232:ODA262235 OMW262232:OMW262235 OWS262232:OWS262235 PGO262232:PGO262235 PQK262232:PQK262235 QAG262232:QAG262235 QKC262232:QKC262235 QTY262232:QTY262235 RDU262232:RDU262235 RNQ262232:RNQ262235 RXM262232:RXM262235 SHI262232:SHI262235 SRE262232:SRE262235 TBA262232:TBA262235 TKW262232:TKW262235 TUS262232:TUS262235 UEO262232:UEO262235 UOK262232:UOK262235 UYG262232:UYG262235 VIC262232:VIC262235 VRY262232:VRY262235 WBU262232:WBU262235 WLQ262232:WLQ262235 WVM262232:WVM262235 E327768:E327771 JA327768:JA327771 SW327768:SW327771 ACS327768:ACS327771 AMO327768:AMO327771 AWK327768:AWK327771 BGG327768:BGG327771 BQC327768:BQC327771 BZY327768:BZY327771 CJU327768:CJU327771 CTQ327768:CTQ327771 DDM327768:DDM327771 DNI327768:DNI327771 DXE327768:DXE327771 EHA327768:EHA327771 EQW327768:EQW327771 FAS327768:FAS327771 FKO327768:FKO327771 FUK327768:FUK327771 GEG327768:GEG327771 GOC327768:GOC327771 GXY327768:GXY327771 HHU327768:HHU327771 HRQ327768:HRQ327771 IBM327768:IBM327771 ILI327768:ILI327771 IVE327768:IVE327771 JFA327768:JFA327771 JOW327768:JOW327771 JYS327768:JYS327771 KIO327768:KIO327771 KSK327768:KSK327771 LCG327768:LCG327771 LMC327768:LMC327771 LVY327768:LVY327771 MFU327768:MFU327771 MPQ327768:MPQ327771 MZM327768:MZM327771 NJI327768:NJI327771 NTE327768:NTE327771 ODA327768:ODA327771 OMW327768:OMW327771 OWS327768:OWS327771 PGO327768:PGO327771 PQK327768:PQK327771 QAG327768:QAG327771 QKC327768:QKC327771 QTY327768:QTY327771 RDU327768:RDU327771 RNQ327768:RNQ327771 RXM327768:RXM327771 SHI327768:SHI327771 SRE327768:SRE327771 TBA327768:TBA327771 TKW327768:TKW327771 TUS327768:TUS327771 UEO327768:UEO327771 UOK327768:UOK327771 UYG327768:UYG327771 VIC327768:VIC327771 VRY327768:VRY327771 WBU327768:WBU327771 WLQ327768:WLQ327771 WVM327768:WVM327771 E393304:E393307 JA393304:JA393307 SW393304:SW393307 ACS393304:ACS393307 AMO393304:AMO393307 AWK393304:AWK393307 BGG393304:BGG393307 BQC393304:BQC393307 BZY393304:BZY393307 CJU393304:CJU393307 CTQ393304:CTQ393307 DDM393304:DDM393307 DNI393304:DNI393307 DXE393304:DXE393307 EHA393304:EHA393307 EQW393304:EQW393307 FAS393304:FAS393307 FKO393304:FKO393307 FUK393304:FUK393307 GEG393304:GEG393307 GOC393304:GOC393307 GXY393304:GXY393307 HHU393304:HHU393307 HRQ393304:HRQ393307 IBM393304:IBM393307 ILI393304:ILI393307 IVE393304:IVE393307 JFA393304:JFA393307 JOW393304:JOW393307 JYS393304:JYS393307 KIO393304:KIO393307 KSK393304:KSK393307 LCG393304:LCG393307 LMC393304:LMC393307 LVY393304:LVY393307 MFU393304:MFU393307 MPQ393304:MPQ393307 MZM393304:MZM393307 NJI393304:NJI393307 NTE393304:NTE393307 ODA393304:ODA393307 OMW393304:OMW393307 OWS393304:OWS393307 PGO393304:PGO393307 PQK393304:PQK393307 QAG393304:QAG393307 QKC393304:QKC393307 QTY393304:QTY393307 RDU393304:RDU393307 RNQ393304:RNQ393307 RXM393304:RXM393307 SHI393304:SHI393307 SRE393304:SRE393307 TBA393304:TBA393307 TKW393304:TKW393307 TUS393304:TUS393307 UEO393304:UEO393307 UOK393304:UOK393307 UYG393304:UYG393307 VIC393304:VIC393307 VRY393304:VRY393307 WBU393304:WBU393307 WLQ393304:WLQ393307 WVM393304:WVM393307 E458840:E458843 JA458840:JA458843 SW458840:SW458843 ACS458840:ACS458843 AMO458840:AMO458843 AWK458840:AWK458843 BGG458840:BGG458843 BQC458840:BQC458843 BZY458840:BZY458843 CJU458840:CJU458843 CTQ458840:CTQ458843 DDM458840:DDM458843 DNI458840:DNI458843 DXE458840:DXE458843 EHA458840:EHA458843 EQW458840:EQW458843 FAS458840:FAS458843 FKO458840:FKO458843 FUK458840:FUK458843 GEG458840:GEG458843 GOC458840:GOC458843 GXY458840:GXY458843 HHU458840:HHU458843 HRQ458840:HRQ458843 IBM458840:IBM458843 ILI458840:ILI458843 IVE458840:IVE458843 JFA458840:JFA458843 JOW458840:JOW458843 JYS458840:JYS458843 KIO458840:KIO458843 KSK458840:KSK458843 LCG458840:LCG458843 LMC458840:LMC458843 LVY458840:LVY458843 MFU458840:MFU458843 MPQ458840:MPQ458843 MZM458840:MZM458843 NJI458840:NJI458843 NTE458840:NTE458843 ODA458840:ODA458843 OMW458840:OMW458843 OWS458840:OWS458843 PGO458840:PGO458843 PQK458840:PQK458843 QAG458840:QAG458843 QKC458840:QKC458843 QTY458840:QTY458843 RDU458840:RDU458843 RNQ458840:RNQ458843 RXM458840:RXM458843 SHI458840:SHI458843 SRE458840:SRE458843 TBA458840:TBA458843 TKW458840:TKW458843 TUS458840:TUS458843 UEO458840:UEO458843 UOK458840:UOK458843 UYG458840:UYG458843 VIC458840:VIC458843 VRY458840:VRY458843 WBU458840:WBU458843 WLQ458840:WLQ458843 WVM458840:WVM458843 E524376:E524379 JA524376:JA524379 SW524376:SW524379 ACS524376:ACS524379 AMO524376:AMO524379 AWK524376:AWK524379 BGG524376:BGG524379 BQC524376:BQC524379 BZY524376:BZY524379 CJU524376:CJU524379 CTQ524376:CTQ524379 DDM524376:DDM524379 DNI524376:DNI524379 DXE524376:DXE524379 EHA524376:EHA524379 EQW524376:EQW524379 FAS524376:FAS524379 FKO524376:FKO524379 FUK524376:FUK524379 GEG524376:GEG524379 GOC524376:GOC524379 GXY524376:GXY524379 HHU524376:HHU524379 HRQ524376:HRQ524379 IBM524376:IBM524379 ILI524376:ILI524379 IVE524376:IVE524379 JFA524376:JFA524379 JOW524376:JOW524379 JYS524376:JYS524379 KIO524376:KIO524379 KSK524376:KSK524379 LCG524376:LCG524379 LMC524376:LMC524379 LVY524376:LVY524379 MFU524376:MFU524379 MPQ524376:MPQ524379 MZM524376:MZM524379 NJI524376:NJI524379 NTE524376:NTE524379 ODA524376:ODA524379 OMW524376:OMW524379 OWS524376:OWS524379 PGO524376:PGO524379 PQK524376:PQK524379 QAG524376:QAG524379 QKC524376:QKC524379 QTY524376:QTY524379 RDU524376:RDU524379 RNQ524376:RNQ524379 RXM524376:RXM524379 SHI524376:SHI524379 SRE524376:SRE524379 TBA524376:TBA524379 TKW524376:TKW524379 TUS524376:TUS524379 UEO524376:UEO524379 UOK524376:UOK524379 UYG524376:UYG524379 VIC524376:VIC524379 VRY524376:VRY524379 WBU524376:WBU524379 WLQ524376:WLQ524379 WVM524376:WVM524379 E589912:E589915 JA589912:JA589915 SW589912:SW589915 ACS589912:ACS589915 AMO589912:AMO589915 AWK589912:AWK589915 BGG589912:BGG589915 BQC589912:BQC589915 BZY589912:BZY589915 CJU589912:CJU589915 CTQ589912:CTQ589915 DDM589912:DDM589915 DNI589912:DNI589915 DXE589912:DXE589915 EHA589912:EHA589915 EQW589912:EQW589915 FAS589912:FAS589915 FKO589912:FKO589915 FUK589912:FUK589915 GEG589912:GEG589915 GOC589912:GOC589915 GXY589912:GXY589915 HHU589912:HHU589915 HRQ589912:HRQ589915 IBM589912:IBM589915 ILI589912:ILI589915 IVE589912:IVE589915 JFA589912:JFA589915 JOW589912:JOW589915 JYS589912:JYS589915 KIO589912:KIO589915 KSK589912:KSK589915 LCG589912:LCG589915 LMC589912:LMC589915 LVY589912:LVY589915 MFU589912:MFU589915 MPQ589912:MPQ589915 MZM589912:MZM589915 NJI589912:NJI589915 NTE589912:NTE589915 ODA589912:ODA589915 OMW589912:OMW589915 OWS589912:OWS589915 PGO589912:PGO589915 PQK589912:PQK589915 QAG589912:QAG589915 QKC589912:QKC589915 QTY589912:QTY589915 RDU589912:RDU589915 RNQ589912:RNQ589915 RXM589912:RXM589915 SHI589912:SHI589915 SRE589912:SRE589915 TBA589912:TBA589915 TKW589912:TKW589915 TUS589912:TUS589915 UEO589912:UEO589915 UOK589912:UOK589915 UYG589912:UYG589915 VIC589912:VIC589915 VRY589912:VRY589915 WBU589912:WBU589915 WLQ589912:WLQ589915 WVM589912:WVM589915 E655448:E655451 JA655448:JA655451 SW655448:SW655451 ACS655448:ACS655451 AMO655448:AMO655451 AWK655448:AWK655451 BGG655448:BGG655451 BQC655448:BQC655451 BZY655448:BZY655451 CJU655448:CJU655451 CTQ655448:CTQ655451 DDM655448:DDM655451 DNI655448:DNI655451 DXE655448:DXE655451 EHA655448:EHA655451 EQW655448:EQW655451 FAS655448:FAS655451 FKO655448:FKO655451 FUK655448:FUK655451 GEG655448:GEG655451 GOC655448:GOC655451 GXY655448:GXY655451 HHU655448:HHU655451 HRQ655448:HRQ655451 IBM655448:IBM655451 ILI655448:ILI655451 IVE655448:IVE655451 JFA655448:JFA655451 JOW655448:JOW655451 JYS655448:JYS655451 KIO655448:KIO655451 KSK655448:KSK655451 LCG655448:LCG655451 LMC655448:LMC655451 LVY655448:LVY655451 MFU655448:MFU655451 MPQ655448:MPQ655451 MZM655448:MZM655451 NJI655448:NJI655451 NTE655448:NTE655451 ODA655448:ODA655451 OMW655448:OMW655451 OWS655448:OWS655451 PGO655448:PGO655451 PQK655448:PQK655451 QAG655448:QAG655451 QKC655448:QKC655451 QTY655448:QTY655451 RDU655448:RDU655451 RNQ655448:RNQ655451 RXM655448:RXM655451 SHI655448:SHI655451 SRE655448:SRE655451 TBA655448:TBA655451 TKW655448:TKW655451 TUS655448:TUS655451 UEO655448:UEO655451 UOK655448:UOK655451 UYG655448:UYG655451 VIC655448:VIC655451 VRY655448:VRY655451 WBU655448:WBU655451 WLQ655448:WLQ655451 WVM655448:WVM655451 E720984:E720987 JA720984:JA720987 SW720984:SW720987 ACS720984:ACS720987 AMO720984:AMO720987 AWK720984:AWK720987 BGG720984:BGG720987 BQC720984:BQC720987 BZY720984:BZY720987 CJU720984:CJU720987 CTQ720984:CTQ720987 DDM720984:DDM720987 DNI720984:DNI720987 DXE720984:DXE720987 EHA720984:EHA720987 EQW720984:EQW720987 FAS720984:FAS720987 FKO720984:FKO720987 FUK720984:FUK720987 GEG720984:GEG720987 GOC720984:GOC720987 GXY720984:GXY720987 HHU720984:HHU720987 HRQ720984:HRQ720987 IBM720984:IBM720987 ILI720984:ILI720987 IVE720984:IVE720987 JFA720984:JFA720987 JOW720984:JOW720987 JYS720984:JYS720987 KIO720984:KIO720987 KSK720984:KSK720987 LCG720984:LCG720987 LMC720984:LMC720987 LVY720984:LVY720987 MFU720984:MFU720987 MPQ720984:MPQ720987 MZM720984:MZM720987 NJI720984:NJI720987 NTE720984:NTE720987 ODA720984:ODA720987 OMW720984:OMW720987 OWS720984:OWS720987 PGO720984:PGO720987 PQK720984:PQK720987 QAG720984:QAG720987 QKC720984:QKC720987 QTY720984:QTY720987 RDU720984:RDU720987 RNQ720984:RNQ720987 RXM720984:RXM720987 SHI720984:SHI720987 SRE720984:SRE720987 TBA720984:TBA720987 TKW720984:TKW720987 TUS720984:TUS720987 UEO720984:UEO720987 UOK720984:UOK720987 UYG720984:UYG720987 VIC720984:VIC720987 VRY720984:VRY720987 WBU720984:WBU720987 WLQ720984:WLQ720987 WVM720984:WVM720987 E786520:E786523 JA786520:JA786523 SW786520:SW786523 ACS786520:ACS786523 AMO786520:AMO786523 AWK786520:AWK786523 BGG786520:BGG786523 BQC786520:BQC786523 BZY786520:BZY786523 CJU786520:CJU786523 CTQ786520:CTQ786523 DDM786520:DDM786523 DNI786520:DNI786523 DXE786520:DXE786523 EHA786520:EHA786523 EQW786520:EQW786523 FAS786520:FAS786523 FKO786520:FKO786523 FUK786520:FUK786523 GEG786520:GEG786523 GOC786520:GOC786523 GXY786520:GXY786523 HHU786520:HHU786523 HRQ786520:HRQ786523 IBM786520:IBM786523 ILI786520:ILI786523 IVE786520:IVE786523 JFA786520:JFA786523 JOW786520:JOW786523 JYS786520:JYS786523 KIO786520:KIO786523 KSK786520:KSK786523 LCG786520:LCG786523 LMC786520:LMC786523 LVY786520:LVY786523 MFU786520:MFU786523 MPQ786520:MPQ786523 MZM786520:MZM786523 NJI786520:NJI786523 NTE786520:NTE786523 ODA786520:ODA786523 OMW786520:OMW786523 OWS786520:OWS786523 PGO786520:PGO786523 PQK786520:PQK786523 QAG786520:QAG786523 QKC786520:QKC786523 QTY786520:QTY786523 RDU786520:RDU786523 RNQ786520:RNQ786523 RXM786520:RXM786523 SHI786520:SHI786523 SRE786520:SRE786523 TBA786520:TBA786523 TKW786520:TKW786523 TUS786520:TUS786523 UEO786520:UEO786523 UOK786520:UOK786523 UYG786520:UYG786523 VIC786520:VIC786523 VRY786520:VRY786523 WBU786520:WBU786523 WLQ786520:WLQ786523 WVM786520:WVM786523 E852056:E852059 JA852056:JA852059 SW852056:SW852059 ACS852056:ACS852059 AMO852056:AMO852059 AWK852056:AWK852059 BGG852056:BGG852059 BQC852056:BQC852059 BZY852056:BZY852059 CJU852056:CJU852059 CTQ852056:CTQ852059 DDM852056:DDM852059 DNI852056:DNI852059 DXE852056:DXE852059 EHA852056:EHA852059 EQW852056:EQW852059 FAS852056:FAS852059 FKO852056:FKO852059 FUK852056:FUK852059 GEG852056:GEG852059 GOC852056:GOC852059 GXY852056:GXY852059 HHU852056:HHU852059 HRQ852056:HRQ852059 IBM852056:IBM852059 ILI852056:ILI852059 IVE852056:IVE852059 JFA852056:JFA852059 JOW852056:JOW852059 JYS852056:JYS852059 KIO852056:KIO852059 KSK852056:KSK852059 LCG852056:LCG852059 LMC852056:LMC852059 LVY852056:LVY852059 MFU852056:MFU852059 MPQ852056:MPQ852059 MZM852056:MZM852059 NJI852056:NJI852059 NTE852056:NTE852059 ODA852056:ODA852059 OMW852056:OMW852059 OWS852056:OWS852059 PGO852056:PGO852059 PQK852056:PQK852059 QAG852056:QAG852059 QKC852056:QKC852059 QTY852056:QTY852059 RDU852056:RDU852059 RNQ852056:RNQ852059 RXM852056:RXM852059 SHI852056:SHI852059 SRE852056:SRE852059 TBA852056:TBA852059 TKW852056:TKW852059 TUS852056:TUS852059 UEO852056:UEO852059 UOK852056:UOK852059 UYG852056:UYG852059 VIC852056:VIC852059 VRY852056:VRY852059 WBU852056:WBU852059 WLQ852056:WLQ852059 WVM852056:WVM852059 E917592:E917595 JA917592:JA917595 SW917592:SW917595 ACS917592:ACS917595 AMO917592:AMO917595 AWK917592:AWK917595 BGG917592:BGG917595 BQC917592:BQC917595 BZY917592:BZY917595 CJU917592:CJU917595 CTQ917592:CTQ917595 DDM917592:DDM917595 DNI917592:DNI917595 DXE917592:DXE917595 EHA917592:EHA917595 EQW917592:EQW917595 FAS917592:FAS917595 FKO917592:FKO917595 FUK917592:FUK917595 GEG917592:GEG917595 GOC917592:GOC917595 GXY917592:GXY917595 HHU917592:HHU917595 HRQ917592:HRQ917595 IBM917592:IBM917595 ILI917592:ILI917595 IVE917592:IVE917595 JFA917592:JFA917595 JOW917592:JOW917595 JYS917592:JYS917595 KIO917592:KIO917595 KSK917592:KSK917595 LCG917592:LCG917595 LMC917592:LMC917595 LVY917592:LVY917595 MFU917592:MFU917595 MPQ917592:MPQ917595 MZM917592:MZM917595 NJI917592:NJI917595 NTE917592:NTE917595 ODA917592:ODA917595 OMW917592:OMW917595 OWS917592:OWS917595 PGO917592:PGO917595 PQK917592:PQK917595 QAG917592:QAG917595 QKC917592:QKC917595 QTY917592:QTY917595 RDU917592:RDU917595 RNQ917592:RNQ917595 RXM917592:RXM917595 SHI917592:SHI917595 SRE917592:SRE917595 TBA917592:TBA917595 TKW917592:TKW917595 TUS917592:TUS917595 UEO917592:UEO917595 UOK917592:UOK917595 UYG917592:UYG917595 VIC917592:VIC917595 VRY917592:VRY917595 WBU917592:WBU917595 WLQ917592:WLQ917595 WVM917592:WVM917595 E983128:E983131 JA983128:JA983131 SW983128:SW983131 ACS983128:ACS983131 AMO983128:AMO983131 AWK983128:AWK983131 BGG983128:BGG983131 BQC983128:BQC983131 BZY983128:BZY983131 CJU983128:CJU983131 CTQ983128:CTQ983131 DDM983128:DDM983131 DNI983128:DNI983131 DXE983128:DXE983131 EHA983128:EHA983131 EQW983128:EQW983131 FAS983128:FAS983131 FKO983128:FKO983131 FUK983128:FUK983131 GEG983128:GEG983131 GOC983128:GOC983131 GXY983128:GXY983131 HHU983128:HHU983131 HRQ983128:HRQ983131 IBM983128:IBM983131 ILI983128:ILI983131 IVE983128:IVE983131 JFA983128:JFA983131 JOW983128:JOW983131 JYS983128:JYS983131 KIO983128:KIO983131 KSK983128:KSK983131 LCG983128:LCG983131 LMC983128:LMC983131 LVY983128:LVY983131 MFU983128:MFU983131 MPQ983128:MPQ983131 MZM983128:MZM983131 NJI983128:NJI983131 NTE983128:NTE983131 ODA983128:ODA983131 OMW983128:OMW983131 OWS983128:OWS983131 PGO983128:PGO983131 PQK983128:PQK983131 QAG983128:QAG983131 QKC983128:QKC983131 QTY983128:QTY983131 RDU983128:RDU983131 RNQ983128:RNQ983131 RXM983128:RXM983131 SHI983128:SHI983131 SRE983128:SRE983131 TBA983128:TBA983131 TKW983128:TKW983131 TUS983128:TUS983131 UEO983128:UEO983131 UOK983128:UOK983131 UYG983128:UYG983131 VIC983128:VIC983131 VRY983128:VRY983131 WBU983128:WBU983131 WLQ983128:WLQ983131 WVM983128:WVM983131 JE41:JE86 TA41:TA86 ACW41:ACW86 AMS41:AMS86 AWO41:AWO86 BGK41:BGK86 BQG41:BQG86 CAC41:CAC86 CJY41:CJY86 CTU41:CTU86 DDQ41:DDQ86 DNM41:DNM86 DXI41:DXI86 EHE41:EHE86 ERA41:ERA86 FAW41:FAW86 FKS41:FKS86 FUO41:FUO86 GEK41:GEK86 GOG41:GOG86 GYC41:GYC86 HHY41:HHY86 HRU41:HRU86 IBQ41:IBQ86 ILM41:ILM86 IVI41:IVI86 JFE41:JFE86 JPA41:JPA86 JYW41:JYW86 KIS41:KIS86 KSO41:KSO86 LCK41:LCK86 LMG41:LMG86 LWC41:LWC86 MFY41:MFY86 MPU41:MPU86 MZQ41:MZQ86 NJM41:NJM86 NTI41:NTI86 ODE41:ODE86 ONA41:ONA86 OWW41:OWW86 PGS41:PGS86 PQO41:PQO86 QAK41:QAK86 QKG41:QKG86 QUC41:QUC86 RDY41:RDY86 RNU41:RNU86 RXQ41:RXQ86 SHM41:SHM86 SRI41:SRI86 TBE41:TBE86 TLA41:TLA86 TUW41:TUW86 UES41:UES86 UOO41:UOO86 UYK41:UYK86 VIG41:VIG86 VSC41:VSC86 WBY41:WBY86 WLU41:WLU86 WVQ41:WVQ86 I65577:I65621 JE65577:JE65621 TA65577:TA65621 ACW65577:ACW65621 AMS65577:AMS65621 AWO65577:AWO65621 BGK65577:BGK65621 BQG65577:BQG65621 CAC65577:CAC65621 CJY65577:CJY65621 CTU65577:CTU65621 DDQ65577:DDQ65621 DNM65577:DNM65621 DXI65577:DXI65621 EHE65577:EHE65621 ERA65577:ERA65621 FAW65577:FAW65621 FKS65577:FKS65621 FUO65577:FUO65621 GEK65577:GEK65621 GOG65577:GOG65621 GYC65577:GYC65621 HHY65577:HHY65621 HRU65577:HRU65621 IBQ65577:IBQ65621 ILM65577:ILM65621 IVI65577:IVI65621 JFE65577:JFE65621 JPA65577:JPA65621 JYW65577:JYW65621 KIS65577:KIS65621 KSO65577:KSO65621 LCK65577:LCK65621 LMG65577:LMG65621 LWC65577:LWC65621 MFY65577:MFY65621 MPU65577:MPU65621 MZQ65577:MZQ65621 NJM65577:NJM65621 NTI65577:NTI65621 ODE65577:ODE65621 ONA65577:ONA65621 OWW65577:OWW65621 PGS65577:PGS65621 PQO65577:PQO65621 QAK65577:QAK65621 QKG65577:QKG65621 QUC65577:QUC65621 RDY65577:RDY65621 RNU65577:RNU65621 RXQ65577:RXQ65621 SHM65577:SHM65621 SRI65577:SRI65621 TBE65577:TBE65621 TLA65577:TLA65621 TUW65577:TUW65621 UES65577:UES65621 UOO65577:UOO65621 UYK65577:UYK65621 VIG65577:VIG65621 VSC65577:VSC65621 WBY65577:WBY65621 WLU65577:WLU65621 WVQ65577:WVQ65621 I131113:I131157 JE131113:JE131157 TA131113:TA131157 ACW131113:ACW131157 AMS131113:AMS131157 AWO131113:AWO131157 BGK131113:BGK131157 BQG131113:BQG131157 CAC131113:CAC131157 CJY131113:CJY131157 CTU131113:CTU131157 DDQ131113:DDQ131157 DNM131113:DNM131157 DXI131113:DXI131157 EHE131113:EHE131157 ERA131113:ERA131157 FAW131113:FAW131157 FKS131113:FKS131157 FUO131113:FUO131157 GEK131113:GEK131157 GOG131113:GOG131157 GYC131113:GYC131157 HHY131113:HHY131157 HRU131113:HRU131157 IBQ131113:IBQ131157 ILM131113:ILM131157 IVI131113:IVI131157 JFE131113:JFE131157 JPA131113:JPA131157 JYW131113:JYW131157 KIS131113:KIS131157 KSO131113:KSO131157 LCK131113:LCK131157 LMG131113:LMG131157 LWC131113:LWC131157 MFY131113:MFY131157 MPU131113:MPU131157 MZQ131113:MZQ131157 NJM131113:NJM131157 NTI131113:NTI131157 ODE131113:ODE131157 ONA131113:ONA131157 OWW131113:OWW131157 PGS131113:PGS131157 PQO131113:PQO131157 QAK131113:QAK131157 QKG131113:QKG131157 QUC131113:QUC131157 RDY131113:RDY131157 RNU131113:RNU131157 RXQ131113:RXQ131157 SHM131113:SHM131157 SRI131113:SRI131157 TBE131113:TBE131157 TLA131113:TLA131157 TUW131113:TUW131157 UES131113:UES131157 UOO131113:UOO131157 UYK131113:UYK131157 VIG131113:VIG131157 VSC131113:VSC131157 WBY131113:WBY131157 WLU131113:WLU131157 WVQ131113:WVQ131157 I196649:I196693 JE196649:JE196693 TA196649:TA196693 ACW196649:ACW196693 AMS196649:AMS196693 AWO196649:AWO196693 BGK196649:BGK196693 BQG196649:BQG196693 CAC196649:CAC196693 CJY196649:CJY196693 CTU196649:CTU196693 DDQ196649:DDQ196693 DNM196649:DNM196693 DXI196649:DXI196693 EHE196649:EHE196693 ERA196649:ERA196693 FAW196649:FAW196693 FKS196649:FKS196693 FUO196649:FUO196693 GEK196649:GEK196693 GOG196649:GOG196693 GYC196649:GYC196693 HHY196649:HHY196693 HRU196649:HRU196693 IBQ196649:IBQ196693 ILM196649:ILM196693 IVI196649:IVI196693 JFE196649:JFE196693 JPA196649:JPA196693 JYW196649:JYW196693 KIS196649:KIS196693 KSO196649:KSO196693 LCK196649:LCK196693 LMG196649:LMG196693 LWC196649:LWC196693 MFY196649:MFY196693 MPU196649:MPU196693 MZQ196649:MZQ196693 NJM196649:NJM196693 NTI196649:NTI196693 ODE196649:ODE196693 ONA196649:ONA196693 OWW196649:OWW196693 PGS196649:PGS196693 PQO196649:PQO196693 QAK196649:QAK196693 QKG196649:QKG196693 QUC196649:QUC196693 RDY196649:RDY196693 RNU196649:RNU196693 RXQ196649:RXQ196693 SHM196649:SHM196693 SRI196649:SRI196693 TBE196649:TBE196693 TLA196649:TLA196693 TUW196649:TUW196693 UES196649:UES196693 UOO196649:UOO196693 UYK196649:UYK196693 VIG196649:VIG196693 VSC196649:VSC196693 WBY196649:WBY196693 WLU196649:WLU196693 WVQ196649:WVQ196693 I262185:I262229 JE262185:JE262229 TA262185:TA262229 ACW262185:ACW262229 AMS262185:AMS262229 AWO262185:AWO262229 BGK262185:BGK262229 BQG262185:BQG262229 CAC262185:CAC262229 CJY262185:CJY262229 CTU262185:CTU262229 DDQ262185:DDQ262229 DNM262185:DNM262229 DXI262185:DXI262229 EHE262185:EHE262229 ERA262185:ERA262229 FAW262185:FAW262229 FKS262185:FKS262229 FUO262185:FUO262229 GEK262185:GEK262229 GOG262185:GOG262229 GYC262185:GYC262229 HHY262185:HHY262229 HRU262185:HRU262229 IBQ262185:IBQ262229 ILM262185:ILM262229 IVI262185:IVI262229 JFE262185:JFE262229 JPA262185:JPA262229 JYW262185:JYW262229 KIS262185:KIS262229 KSO262185:KSO262229 LCK262185:LCK262229 LMG262185:LMG262229 LWC262185:LWC262229 MFY262185:MFY262229 MPU262185:MPU262229 MZQ262185:MZQ262229 NJM262185:NJM262229 NTI262185:NTI262229 ODE262185:ODE262229 ONA262185:ONA262229 OWW262185:OWW262229 PGS262185:PGS262229 PQO262185:PQO262229 QAK262185:QAK262229 QKG262185:QKG262229 QUC262185:QUC262229 RDY262185:RDY262229 RNU262185:RNU262229 RXQ262185:RXQ262229 SHM262185:SHM262229 SRI262185:SRI262229 TBE262185:TBE262229 TLA262185:TLA262229 TUW262185:TUW262229 UES262185:UES262229 UOO262185:UOO262229 UYK262185:UYK262229 VIG262185:VIG262229 VSC262185:VSC262229 WBY262185:WBY262229 WLU262185:WLU262229 WVQ262185:WVQ262229 I327721:I327765 JE327721:JE327765 TA327721:TA327765 ACW327721:ACW327765 AMS327721:AMS327765 AWO327721:AWO327765 BGK327721:BGK327765 BQG327721:BQG327765 CAC327721:CAC327765 CJY327721:CJY327765 CTU327721:CTU327765 DDQ327721:DDQ327765 DNM327721:DNM327765 DXI327721:DXI327765 EHE327721:EHE327765 ERA327721:ERA327765 FAW327721:FAW327765 FKS327721:FKS327765 FUO327721:FUO327765 GEK327721:GEK327765 GOG327721:GOG327765 GYC327721:GYC327765 HHY327721:HHY327765 HRU327721:HRU327765 IBQ327721:IBQ327765 ILM327721:ILM327765 IVI327721:IVI327765 JFE327721:JFE327765 JPA327721:JPA327765 JYW327721:JYW327765 KIS327721:KIS327765 KSO327721:KSO327765 LCK327721:LCK327765 LMG327721:LMG327765 LWC327721:LWC327765 MFY327721:MFY327765 MPU327721:MPU327765 MZQ327721:MZQ327765 NJM327721:NJM327765 NTI327721:NTI327765 ODE327721:ODE327765 ONA327721:ONA327765 OWW327721:OWW327765 PGS327721:PGS327765 PQO327721:PQO327765 QAK327721:QAK327765 QKG327721:QKG327765 QUC327721:QUC327765 RDY327721:RDY327765 RNU327721:RNU327765 RXQ327721:RXQ327765 SHM327721:SHM327765 SRI327721:SRI327765 TBE327721:TBE327765 TLA327721:TLA327765 TUW327721:TUW327765 UES327721:UES327765 UOO327721:UOO327765 UYK327721:UYK327765 VIG327721:VIG327765 VSC327721:VSC327765 WBY327721:WBY327765 WLU327721:WLU327765 WVQ327721:WVQ327765 I393257:I393301 JE393257:JE393301 TA393257:TA393301 ACW393257:ACW393301 AMS393257:AMS393301 AWO393257:AWO393301 BGK393257:BGK393301 BQG393257:BQG393301 CAC393257:CAC393301 CJY393257:CJY393301 CTU393257:CTU393301 DDQ393257:DDQ393301 DNM393257:DNM393301 DXI393257:DXI393301 EHE393257:EHE393301 ERA393257:ERA393301 FAW393257:FAW393301 FKS393257:FKS393301 FUO393257:FUO393301 GEK393257:GEK393301 GOG393257:GOG393301 GYC393257:GYC393301 HHY393257:HHY393301 HRU393257:HRU393301 IBQ393257:IBQ393301 ILM393257:ILM393301 IVI393257:IVI393301 JFE393257:JFE393301 JPA393257:JPA393301 JYW393257:JYW393301 KIS393257:KIS393301 KSO393257:KSO393301 LCK393257:LCK393301 LMG393257:LMG393301 LWC393257:LWC393301 MFY393257:MFY393301 MPU393257:MPU393301 MZQ393257:MZQ393301 NJM393257:NJM393301 NTI393257:NTI393301 ODE393257:ODE393301 ONA393257:ONA393301 OWW393257:OWW393301 PGS393257:PGS393301 PQO393257:PQO393301 QAK393257:QAK393301 QKG393257:QKG393301 QUC393257:QUC393301 RDY393257:RDY393301 RNU393257:RNU393301 RXQ393257:RXQ393301 SHM393257:SHM393301 SRI393257:SRI393301 TBE393257:TBE393301 TLA393257:TLA393301 TUW393257:TUW393301 UES393257:UES393301 UOO393257:UOO393301 UYK393257:UYK393301 VIG393257:VIG393301 VSC393257:VSC393301 WBY393257:WBY393301 WLU393257:WLU393301 WVQ393257:WVQ393301 I458793:I458837 JE458793:JE458837 TA458793:TA458837 ACW458793:ACW458837 AMS458793:AMS458837 AWO458793:AWO458837 BGK458793:BGK458837 BQG458793:BQG458837 CAC458793:CAC458837 CJY458793:CJY458837 CTU458793:CTU458837 DDQ458793:DDQ458837 DNM458793:DNM458837 DXI458793:DXI458837 EHE458793:EHE458837 ERA458793:ERA458837 FAW458793:FAW458837 FKS458793:FKS458837 FUO458793:FUO458837 GEK458793:GEK458837 GOG458793:GOG458837 GYC458793:GYC458837 HHY458793:HHY458837 HRU458793:HRU458837 IBQ458793:IBQ458837 ILM458793:ILM458837 IVI458793:IVI458837 JFE458793:JFE458837 JPA458793:JPA458837 JYW458793:JYW458837 KIS458793:KIS458837 KSO458793:KSO458837 LCK458793:LCK458837 LMG458793:LMG458837 LWC458793:LWC458837 MFY458793:MFY458837 MPU458793:MPU458837 MZQ458793:MZQ458837 NJM458793:NJM458837 NTI458793:NTI458837 ODE458793:ODE458837 ONA458793:ONA458837 OWW458793:OWW458837 PGS458793:PGS458837 PQO458793:PQO458837 QAK458793:QAK458837 QKG458793:QKG458837 QUC458793:QUC458837 RDY458793:RDY458837 RNU458793:RNU458837 RXQ458793:RXQ458837 SHM458793:SHM458837 SRI458793:SRI458837 TBE458793:TBE458837 TLA458793:TLA458837 TUW458793:TUW458837 UES458793:UES458837 UOO458793:UOO458837 UYK458793:UYK458837 VIG458793:VIG458837 VSC458793:VSC458837 WBY458793:WBY458837 WLU458793:WLU458837 WVQ458793:WVQ458837 I524329:I524373 JE524329:JE524373 TA524329:TA524373 ACW524329:ACW524373 AMS524329:AMS524373 AWO524329:AWO524373 BGK524329:BGK524373 BQG524329:BQG524373 CAC524329:CAC524373 CJY524329:CJY524373 CTU524329:CTU524373 DDQ524329:DDQ524373 DNM524329:DNM524373 DXI524329:DXI524373 EHE524329:EHE524373 ERA524329:ERA524373 FAW524329:FAW524373 FKS524329:FKS524373 FUO524329:FUO524373 GEK524329:GEK524373 GOG524329:GOG524373 GYC524329:GYC524373 HHY524329:HHY524373 HRU524329:HRU524373 IBQ524329:IBQ524373 ILM524329:ILM524373 IVI524329:IVI524373 JFE524329:JFE524373 JPA524329:JPA524373 JYW524329:JYW524373 KIS524329:KIS524373 KSO524329:KSO524373 LCK524329:LCK524373 LMG524329:LMG524373 LWC524329:LWC524373 MFY524329:MFY524373 MPU524329:MPU524373 MZQ524329:MZQ524373 NJM524329:NJM524373 NTI524329:NTI524373 ODE524329:ODE524373 ONA524329:ONA524373 OWW524329:OWW524373 PGS524329:PGS524373 PQO524329:PQO524373 QAK524329:QAK524373 QKG524329:QKG524373 QUC524329:QUC524373 RDY524329:RDY524373 RNU524329:RNU524373 RXQ524329:RXQ524373 SHM524329:SHM524373 SRI524329:SRI524373 TBE524329:TBE524373 TLA524329:TLA524373 TUW524329:TUW524373 UES524329:UES524373 UOO524329:UOO524373 UYK524329:UYK524373 VIG524329:VIG524373 VSC524329:VSC524373 WBY524329:WBY524373 WLU524329:WLU524373 WVQ524329:WVQ524373 I589865:I589909 JE589865:JE589909 TA589865:TA589909 ACW589865:ACW589909 AMS589865:AMS589909 AWO589865:AWO589909 BGK589865:BGK589909 BQG589865:BQG589909 CAC589865:CAC589909 CJY589865:CJY589909 CTU589865:CTU589909 DDQ589865:DDQ589909 DNM589865:DNM589909 DXI589865:DXI589909 EHE589865:EHE589909 ERA589865:ERA589909 FAW589865:FAW589909 FKS589865:FKS589909 FUO589865:FUO589909 GEK589865:GEK589909 GOG589865:GOG589909 GYC589865:GYC589909 HHY589865:HHY589909 HRU589865:HRU589909 IBQ589865:IBQ589909 ILM589865:ILM589909 IVI589865:IVI589909 JFE589865:JFE589909 JPA589865:JPA589909 JYW589865:JYW589909 KIS589865:KIS589909 KSO589865:KSO589909 LCK589865:LCK589909 LMG589865:LMG589909 LWC589865:LWC589909 MFY589865:MFY589909 MPU589865:MPU589909 MZQ589865:MZQ589909 NJM589865:NJM589909 NTI589865:NTI589909 ODE589865:ODE589909 ONA589865:ONA589909 OWW589865:OWW589909 PGS589865:PGS589909 PQO589865:PQO589909 QAK589865:QAK589909 QKG589865:QKG589909 QUC589865:QUC589909 RDY589865:RDY589909 RNU589865:RNU589909 RXQ589865:RXQ589909 SHM589865:SHM589909 SRI589865:SRI589909 TBE589865:TBE589909 TLA589865:TLA589909 TUW589865:TUW589909 UES589865:UES589909 UOO589865:UOO589909 UYK589865:UYK589909 VIG589865:VIG589909 VSC589865:VSC589909 WBY589865:WBY589909 WLU589865:WLU589909 WVQ589865:WVQ589909 I655401:I655445 JE655401:JE655445 TA655401:TA655445 ACW655401:ACW655445 AMS655401:AMS655445 AWO655401:AWO655445 BGK655401:BGK655445 BQG655401:BQG655445 CAC655401:CAC655445 CJY655401:CJY655445 CTU655401:CTU655445 DDQ655401:DDQ655445 DNM655401:DNM655445 DXI655401:DXI655445 EHE655401:EHE655445 ERA655401:ERA655445 FAW655401:FAW655445 FKS655401:FKS655445 FUO655401:FUO655445 GEK655401:GEK655445 GOG655401:GOG655445 GYC655401:GYC655445 HHY655401:HHY655445 HRU655401:HRU655445 IBQ655401:IBQ655445 ILM655401:ILM655445 IVI655401:IVI655445 JFE655401:JFE655445 JPA655401:JPA655445 JYW655401:JYW655445 KIS655401:KIS655445 KSO655401:KSO655445 LCK655401:LCK655445 LMG655401:LMG655445 LWC655401:LWC655445 MFY655401:MFY655445 MPU655401:MPU655445 MZQ655401:MZQ655445 NJM655401:NJM655445 NTI655401:NTI655445 ODE655401:ODE655445 ONA655401:ONA655445 OWW655401:OWW655445 PGS655401:PGS655445 PQO655401:PQO655445 QAK655401:QAK655445 QKG655401:QKG655445 QUC655401:QUC655445 RDY655401:RDY655445 RNU655401:RNU655445 RXQ655401:RXQ655445 SHM655401:SHM655445 SRI655401:SRI655445 TBE655401:TBE655445 TLA655401:TLA655445 TUW655401:TUW655445 UES655401:UES655445 UOO655401:UOO655445 UYK655401:UYK655445 VIG655401:VIG655445 VSC655401:VSC655445 WBY655401:WBY655445 WLU655401:WLU655445 WVQ655401:WVQ655445 I720937:I720981 JE720937:JE720981 TA720937:TA720981 ACW720937:ACW720981 AMS720937:AMS720981 AWO720937:AWO720981 BGK720937:BGK720981 BQG720937:BQG720981 CAC720937:CAC720981 CJY720937:CJY720981 CTU720937:CTU720981 DDQ720937:DDQ720981 DNM720937:DNM720981 DXI720937:DXI720981 EHE720937:EHE720981 ERA720937:ERA720981 FAW720937:FAW720981 FKS720937:FKS720981 FUO720937:FUO720981 GEK720937:GEK720981 GOG720937:GOG720981 GYC720937:GYC720981 HHY720937:HHY720981 HRU720937:HRU720981 IBQ720937:IBQ720981 ILM720937:ILM720981 IVI720937:IVI720981 JFE720937:JFE720981 JPA720937:JPA720981 JYW720937:JYW720981 KIS720937:KIS720981 KSO720937:KSO720981 LCK720937:LCK720981 LMG720937:LMG720981 LWC720937:LWC720981 MFY720937:MFY720981 MPU720937:MPU720981 MZQ720937:MZQ720981 NJM720937:NJM720981 NTI720937:NTI720981 ODE720937:ODE720981 ONA720937:ONA720981 OWW720937:OWW720981 PGS720937:PGS720981 PQO720937:PQO720981 QAK720937:QAK720981 QKG720937:QKG720981 QUC720937:QUC720981 RDY720937:RDY720981 RNU720937:RNU720981 RXQ720937:RXQ720981 SHM720937:SHM720981 SRI720937:SRI720981 TBE720937:TBE720981 TLA720937:TLA720981 TUW720937:TUW720981 UES720937:UES720981 UOO720937:UOO720981 UYK720937:UYK720981 VIG720937:VIG720981 VSC720937:VSC720981 WBY720937:WBY720981 WLU720937:WLU720981 WVQ720937:WVQ720981 I786473:I786517 JE786473:JE786517 TA786473:TA786517 ACW786473:ACW786517 AMS786473:AMS786517 AWO786473:AWO786517 BGK786473:BGK786517 BQG786473:BQG786517 CAC786473:CAC786517 CJY786473:CJY786517 CTU786473:CTU786517 DDQ786473:DDQ786517 DNM786473:DNM786517 DXI786473:DXI786517 EHE786473:EHE786517 ERA786473:ERA786517 FAW786473:FAW786517 FKS786473:FKS786517 FUO786473:FUO786517 GEK786473:GEK786517 GOG786473:GOG786517 GYC786473:GYC786517 HHY786473:HHY786517 HRU786473:HRU786517 IBQ786473:IBQ786517 ILM786473:ILM786517 IVI786473:IVI786517 JFE786473:JFE786517 JPA786473:JPA786517 JYW786473:JYW786517 KIS786473:KIS786517 KSO786473:KSO786517 LCK786473:LCK786517 LMG786473:LMG786517 LWC786473:LWC786517 MFY786473:MFY786517 MPU786473:MPU786517 MZQ786473:MZQ786517 NJM786473:NJM786517 NTI786473:NTI786517 ODE786473:ODE786517 ONA786473:ONA786517 OWW786473:OWW786517 PGS786473:PGS786517 PQO786473:PQO786517 QAK786473:QAK786517 QKG786473:QKG786517 QUC786473:QUC786517 RDY786473:RDY786517 RNU786473:RNU786517 RXQ786473:RXQ786517 SHM786473:SHM786517 SRI786473:SRI786517 TBE786473:TBE786517 TLA786473:TLA786517 TUW786473:TUW786517 UES786473:UES786517 UOO786473:UOO786517 UYK786473:UYK786517 VIG786473:VIG786517 VSC786473:VSC786517 WBY786473:WBY786517 WLU786473:WLU786517 WVQ786473:WVQ786517 I852009:I852053 JE852009:JE852053 TA852009:TA852053 ACW852009:ACW852053 AMS852009:AMS852053 AWO852009:AWO852053 BGK852009:BGK852053 BQG852009:BQG852053 CAC852009:CAC852053 CJY852009:CJY852053 CTU852009:CTU852053 DDQ852009:DDQ852053 DNM852009:DNM852053 DXI852009:DXI852053 EHE852009:EHE852053 ERA852009:ERA852053 FAW852009:FAW852053 FKS852009:FKS852053 FUO852009:FUO852053 GEK852009:GEK852053 GOG852009:GOG852053 GYC852009:GYC852053 HHY852009:HHY852053 HRU852009:HRU852053 IBQ852009:IBQ852053 ILM852009:ILM852053 IVI852009:IVI852053 JFE852009:JFE852053 JPA852009:JPA852053 JYW852009:JYW852053 KIS852009:KIS852053 KSO852009:KSO852053 LCK852009:LCK852053 LMG852009:LMG852053 LWC852009:LWC852053 MFY852009:MFY852053 MPU852009:MPU852053 MZQ852009:MZQ852053 NJM852009:NJM852053 NTI852009:NTI852053 ODE852009:ODE852053 ONA852009:ONA852053 OWW852009:OWW852053 PGS852009:PGS852053 PQO852009:PQO852053 QAK852009:QAK852053 QKG852009:QKG852053 QUC852009:QUC852053 RDY852009:RDY852053 RNU852009:RNU852053 RXQ852009:RXQ852053 SHM852009:SHM852053 SRI852009:SRI852053 TBE852009:TBE852053 TLA852009:TLA852053 TUW852009:TUW852053 UES852009:UES852053 UOO852009:UOO852053 UYK852009:UYK852053 VIG852009:VIG852053 VSC852009:VSC852053 WBY852009:WBY852053 WLU852009:WLU852053 WVQ852009:WVQ852053 I917545:I917589 JE917545:JE917589 TA917545:TA917589 ACW917545:ACW917589 AMS917545:AMS917589 AWO917545:AWO917589 BGK917545:BGK917589 BQG917545:BQG917589 CAC917545:CAC917589 CJY917545:CJY917589 CTU917545:CTU917589 DDQ917545:DDQ917589 DNM917545:DNM917589 DXI917545:DXI917589 EHE917545:EHE917589 ERA917545:ERA917589 FAW917545:FAW917589 FKS917545:FKS917589 FUO917545:FUO917589 GEK917545:GEK917589 GOG917545:GOG917589 GYC917545:GYC917589 HHY917545:HHY917589 HRU917545:HRU917589 IBQ917545:IBQ917589 ILM917545:ILM917589 IVI917545:IVI917589 JFE917545:JFE917589 JPA917545:JPA917589 JYW917545:JYW917589 KIS917545:KIS917589 KSO917545:KSO917589 LCK917545:LCK917589 LMG917545:LMG917589 LWC917545:LWC917589 MFY917545:MFY917589 MPU917545:MPU917589 MZQ917545:MZQ917589 NJM917545:NJM917589 NTI917545:NTI917589 ODE917545:ODE917589 ONA917545:ONA917589 OWW917545:OWW917589 PGS917545:PGS917589 PQO917545:PQO917589 QAK917545:QAK917589 QKG917545:QKG917589 QUC917545:QUC917589 RDY917545:RDY917589 RNU917545:RNU917589 RXQ917545:RXQ917589 SHM917545:SHM917589 SRI917545:SRI917589 TBE917545:TBE917589 TLA917545:TLA917589 TUW917545:TUW917589 UES917545:UES917589 UOO917545:UOO917589 UYK917545:UYK917589 VIG917545:VIG917589 VSC917545:VSC917589 WBY917545:WBY917589 WLU917545:WLU917589 WVQ917545:WVQ917589 I983081:I983125 JE983081:JE983125 TA983081:TA983125 ACW983081:ACW983125 AMS983081:AMS983125 AWO983081:AWO983125 BGK983081:BGK983125 BQG983081:BQG983125 CAC983081:CAC983125 CJY983081:CJY983125 CTU983081:CTU983125 DDQ983081:DDQ983125 DNM983081:DNM983125 DXI983081:DXI983125 EHE983081:EHE983125 ERA983081:ERA983125 FAW983081:FAW983125 FKS983081:FKS983125 FUO983081:FUO983125 GEK983081:GEK983125 GOG983081:GOG983125 GYC983081:GYC983125 HHY983081:HHY983125 HRU983081:HRU983125 IBQ983081:IBQ983125 ILM983081:ILM983125 IVI983081:IVI983125 JFE983081:JFE983125 JPA983081:JPA983125 JYW983081:JYW983125 KIS983081:KIS983125 KSO983081:KSO983125 LCK983081:LCK983125 LMG983081:LMG983125 LWC983081:LWC983125 MFY983081:MFY983125 MPU983081:MPU983125 MZQ983081:MZQ983125 NJM983081:NJM983125 NTI983081:NTI983125 ODE983081:ODE983125 ONA983081:ONA983125 OWW983081:OWW983125 PGS983081:PGS983125 PQO983081:PQO983125 QAK983081:QAK983125 QKG983081:QKG983125 QUC983081:QUC983125 RDY983081:RDY983125 RNU983081:RNU983125 RXQ983081:RXQ983125 SHM983081:SHM983125 SRI983081:SRI983125 TBE983081:TBE983125 TLA983081:TLA983125 TUW983081:TUW983125 UES983081:UES983125 UOO983081:UOO983125 UYK983081:UYK983125 VIG983081:VIG983125 VSC983081:VSC983125 WBY983081:WBY983125 WLU983081:WLU983125 WVQ983081:WVQ983125 I17:I86 JE17:JE39 TA17:TA39 ACW17:ACW39 AMS17:AMS39 AWO17:AWO39 BGK17:BGK39 BQG17:BQG39 CAC17:CAC39 CJY17:CJY39 CTU17:CTU39 DDQ17:DDQ39 DNM17:DNM39 DXI17:DXI39 EHE17:EHE39 ERA17:ERA39 FAW17:FAW39 FKS17:FKS39 FUO17:FUO39 GEK17:GEK39 GOG17:GOG39 GYC17:GYC39 HHY17:HHY39 HRU17:HRU39 IBQ17:IBQ39 ILM17:ILM39 IVI17:IVI39 JFE17:JFE39 JPA17:JPA39 JYW17:JYW39 KIS17:KIS39 KSO17:KSO39 LCK17:LCK39 LMG17:LMG39 LWC17:LWC39 MFY17:MFY39 MPU17:MPU39 MZQ17:MZQ39 NJM17:NJM39 NTI17:NTI39 ODE17:ODE39 ONA17:ONA39 OWW17:OWW39 PGS17:PGS39 PQO17:PQO39 QAK17:QAK39 QKG17:QKG39 QUC17:QUC39 RDY17:RDY39 RNU17:RNU39 RXQ17:RXQ39 SHM17:SHM39 SRI17:SRI39 TBE17:TBE39 TLA17:TLA39 TUW17:TUW39 UES17:UES39 UOO17:UOO39 UYK17:UYK39 VIG17:VIG39 VSC17:VSC39 WBY17:WBY39 WLU17:WLU39 WVQ17:WVQ39 I65553:I65575 JE65553:JE65575 TA65553:TA65575 ACW65553:ACW65575 AMS65553:AMS65575 AWO65553:AWO65575 BGK65553:BGK65575 BQG65553:BQG65575 CAC65553:CAC65575 CJY65553:CJY65575 CTU65553:CTU65575 DDQ65553:DDQ65575 DNM65553:DNM65575 DXI65553:DXI65575 EHE65553:EHE65575 ERA65553:ERA65575 FAW65553:FAW65575 FKS65553:FKS65575 FUO65553:FUO65575 GEK65553:GEK65575 GOG65553:GOG65575 GYC65553:GYC65575 HHY65553:HHY65575 HRU65553:HRU65575 IBQ65553:IBQ65575 ILM65553:ILM65575 IVI65553:IVI65575 JFE65553:JFE65575 JPA65553:JPA65575 JYW65553:JYW65575 KIS65553:KIS65575 KSO65553:KSO65575 LCK65553:LCK65575 LMG65553:LMG65575 LWC65553:LWC65575 MFY65553:MFY65575 MPU65553:MPU65575 MZQ65553:MZQ65575 NJM65553:NJM65575 NTI65553:NTI65575 ODE65553:ODE65575 ONA65553:ONA65575 OWW65553:OWW65575 PGS65553:PGS65575 PQO65553:PQO65575 QAK65553:QAK65575 QKG65553:QKG65575 QUC65553:QUC65575 RDY65553:RDY65575 RNU65553:RNU65575 RXQ65553:RXQ65575 SHM65553:SHM65575 SRI65553:SRI65575 TBE65553:TBE65575 TLA65553:TLA65575 TUW65553:TUW65575 UES65553:UES65575 UOO65553:UOO65575 UYK65553:UYK65575 VIG65553:VIG65575 VSC65553:VSC65575 WBY65553:WBY65575 WLU65553:WLU65575 WVQ65553:WVQ65575 I131089:I131111 JE131089:JE131111 TA131089:TA131111 ACW131089:ACW131111 AMS131089:AMS131111 AWO131089:AWO131111 BGK131089:BGK131111 BQG131089:BQG131111 CAC131089:CAC131111 CJY131089:CJY131111 CTU131089:CTU131111 DDQ131089:DDQ131111 DNM131089:DNM131111 DXI131089:DXI131111 EHE131089:EHE131111 ERA131089:ERA131111 FAW131089:FAW131111 FKS131089:FKS131111 FUO131089:FUO131111 GEK131089:GEK131111 GOG131089:GOG131111 GYC131089:GYC131111 HHY131089:HHY131111 HRU131089:HRU131111 IBQ131089:IBQ131111 ILM131089:ILM131111 IVI131089:IVI131111 JFE131089:JFE131111 JPA131089:JPA131111 JYW131089:JYW131111 KIS131089:KIS131111 KSO131089:KSO131111 LCK131089:LCK131111 LMG131089:LMG131111 LWC131089:LWC131111 MFY131089:MFY131111 MPU131089:MPU131111 MZQ131089:MZQ131111 NJM131089:NJM131111 NTI131089:NTI131111 ODE131089:ODE131111 ONA131089:ONA131111 OWW131089:OWW131111 PGS131089:PGS131111 PQO131089:PQO131111 QAK131089:QAK131111 QKG131089:QKG131111 QUC131089:QUC131111 RDY131089:RDY131111 RNU131089:RNU131111 RXQ131089:RXQ131111 SHM131089:SHM131111 SRI131089:SRI131111 TBE131089:TBE131111 TLA131089:TLA131111 TUW131089:TUW131111 UES131089:UES131111 UOO131089:UOO131111 UYK131089:UYK131111 VIG131089:VIG131111 VSC131089:VSC131111 WBY131089:WBY131111 WLU131089:WLU131111 WVQ131089:WVQ131111 I196625:I196647 JE196625:JE196647 TA196625:TA196647 ACW196625:ACW196647 AMS196625:AMS196647 AWO196625:AWO196647 BGK196625:BGK196647 BQG196625:BQG196647 CAC196625:CAC196647 CJY196625:CJY196647 CTU196625:CTU196647 DDQ196625:DDQ196647 DNM196625:DNM196647 DXI196625:DXI196647 EHE196625:EHE196647 ERA196625:ERA196647 FAW196625:FAW196647 FKS196625:FKS196647 FUO196625:FUO196647 GEK196625:GEK196647 GOG196625:GOG196647 GYC196625:GYC196647 HHY196625:HHY196647 HRU196625:HRU196647 IBQ196625:IBQ196647 ILM196625:ILM196647 IVI196625:IVI196647 JFE196625:JFE196647 JPA196625:JPA196647 JYW196625:JYW196647 KIS196625:KIS196647 KSO196625:KSO196647 LCK196625:LCK196647 LMG196625:LMG196647 LWC196625:LWC196647 MFY196625:MFY196647 MPU196625:MPU196647 MZQ196625:MZQ196647 NJM196625:NJM196647 NTI196625:NTI196647 ODE196625:ODE196647 ONA196625:ONA196647 OWW196625:OWW196647 PGS196625:PGS196647 PQO196625:PQO196647 QAK196625:QAK196647 QKG196625:QKG196647 QUC196625:QUC196647 RDY196625:RDY196647 RNU196625:RNU196647 RXQ196625:RXQ196647 SHM196625:SHM196647 SRI196625:SRI196647 TBE196625:TBE196647 TLA196625:TLA196647 TUW196625:TUW196647 UES196625:UES196647 UOO196625:UOO196647 UYK196625:UYK196647 VIG196625:VIG196647 VSC196625:VSC196647 WBY196625:WBY196647 WLU196625:WLU196647 WVQ196625:WVQ196647 I262161:I262183 JE262161:JE262183 TA262161:TA262183 ACW262161:ACW262183 AMS262161:AMS262183 AWO262161:AWO262183 BGK262161:BGK262183 BQG262161:BQG262183 CAC262161:CAC262183 CJY262161:CJY262183 CTU262161:CTU262183 DDQ262161:DDQ262183 DNM262161:DNM262183 DXI262161:DXI262183 EHE262161:EHE262183 ERA262161:ERA262183 FAW262161:FAW262183 FKS262161:FKS262183 FUO262161:FUO262183 GEK262161:GEK262183 GOG262161:GOG262183 GYC262161:GYC262183 HHY262161:HHY262183 HRU262161:HRU262183 IBQ262161:IBQ262183 ILM262161:ILM262183 IVI262161:IVI262183 JFE262161:JFE262183 JPA262161:JPA262183 JYW262161:JYW262183 KIS262161:KIS262183 KSO262161:KSO262183 LCK262161:LCK262183 LMG262161:LMG262183 LWC262161:LWC262183 MFY262161:MFY262183 MPU262161:MPU262183 MZQ262161:MZQ262183 NJM262161:NJM262183 NTI262161:NTI262183 ODE262161:ODE262183 ONA262161:ONA262183 OWW262161:OWW262183 PGS262161:PGS262183 PQO262161:PQO262183 QAK262161:QAK262183 QKG262161:QKG262183 QUC262161:QUC262183 RDY262161:RDY262183 RNU262161:RNU262183 RXQ262161:RXQ262183 SHM262161:SHM262183 SRI262161:SRI262183 TBE262161:TBE262183 TLA262161:TLA262183 TUW262161:TUW262183 UES262161:UES262183 UOO262161:UOO262183 UYK262161:UYK262183 VIG262161:VIG262183 VSC262161:VSC262183 WBY262161:WBY262183 WLU262161:WLU262183 WVQ262161:WVQ262183 I327697:I327719 JE327697:JE327719 TA327697:TA327719 ACW327697:ACW327719 AMS327697:AMS327719 AWO327697:AWO327719 BGK327697:BGK327719 BQG327697:BQG327719 CAC327697:CAC327719 CJY327697:CJY327719 CTU327697:CTU327719 DDQ327697:DDQ327719 DNM327697:DNM327719 DXI327697:DXI327719 EHE327697:EHE327719 ERA327697:ERA327719 FAW327697:FAW327719 FKS327697:FKS327719 FUO327697:FUO327719 GEK327697:GEK327719 GOG327697:GOG327719 GYC327697:GYC327719 HHY327697:HHY327719 HRU327697:HRU327719 IBQ327697:IBQ327719 ILM327697:ILM327719 IVI327697:IVI327719 JFE327697:JFE327719 JPA327697:JPA327719 JYW327697:JYW327719 KIS327697:KIS327719 KSO327697:KSO327719 LCK327697:LCK327719 LMG327697:LMG327719 LWC327697:LWC327719 MFY327697:MFY327719 MPU327697:MPU327719 MZQ327697:MZQ327719 NJM327697:NJM327719 NTI327697:NTI327719 ODE327697:ODE327719 ONA327697:ONA327719 OWW327697:OWW327719 PGS327697:PGS327719 PQO327697:PQO327719 QAK327697:QAK327719 QKG327697:QKG327719 QUC327697:QUC327719 RDY327697:RDY327719 RNU327697:RNU327719 RXQ327697:RXQ327719 SHM327697:SHM327719 SRI327697:SRI327719 TBE327697:TBE327719 TLA327697:TLA327719 TUW327697:TUW327719 UES327697:UES327719 UOO327697:UOO327719 UYK327697:UYK327719 VIG327697:VIG327719 VSC327697:VSC327719 WBY327697:WBY327719 WLU327697:WLU327719 WVQ327697:WVQ327719 I393233:I393255 JE393233:JE393255 TA393233:TA393255 ACW393233:ACW393255 AMS393233:AMS393255 AWO393233:AWO393255 BGK393233:BGK393255 BQG393233:BQG393255 CAC393233:CAC393255 CJY393233:CJY393255 CTU393233:CTU393255 DDQ393233:DDQ393255 DNM393233:DNM393255 DXI393233:DXI393255 EHE393233:EHE393255 ERA393233:ERA393255 FAW393233:FAW393255 FKS393233:FKS393255 FUO393233:FUO393255 GEK393233:GEK393255 GOG393233:GOG393255 GYC393233:GYC393255 HHY393233:HHY393255 HRU393233:HRU393255 IBQ393233:IBQ393255 ILM393233:ILM393255 IVI393233:IVI393255 JFE393233:JFE393255 JPA393233:JPA393255 JYW393233:JYW393255 KIS393233:KIS393255 KSO393233:KSO393255 LCK393233:LCK393255 LMG393233:LMG393255 LWC393233:LWC393255 MFY393233:MFY393255 MPU393233:MPU393255 MZQ393233:MZQ393255 NJM393233:NJM393255 NTI393233:NTI393255 ODE393233:ODE393255 ONA393233:ONA393255 OWW393233:OWW393255 PGS393233:PGS393255 PQO393233:PQO393255 QAK393233:QAK393255 QKG393233:QKG393255 QUC393233:QUC393255 RDY393233:RDY393255 RNU393233:RNU393255 RXQ393233:RXQ393255 SHM393233:SHM393255 SRI393233:SRI393255 TBE393233:TBE393255 TLA393233:TLA393255 TUW393233:TUW393255 UES393233:UES393255 UOO393233:UOO393255 UYK393233:UYK393255 VIG393233:VIG393255 VSC393233:VSC393255 WBY393233:WBY393255 WLU393233:WLU393255 WVQ393233:WVQ393255 I458769:I458791 JE458769:JE458791 TA458769:TA458791 ACW458769:ACW458791 AMS458769:AMS458791 AWO458769:AWO458791 BGK458769:BGK458791 BQG458769:BQG458791 CAC458769:CAC458791 CJY458769:CJY458791 CTU458769:CTU458791 DDQ458769:DDQ458791 DNM458769:DNM458791 DXI458769:DXI458791 EHE458769:EHE458791 ERA458769:ERA458791 FAW458769:FAW458791 FKS458769:FKS458791 FUO458769:FUO458791 GEK458769:GEK458791 GOG458769:GOG458791 GYC458769:GYC458791 HHY458769:HHY458791 HRU458769:HRU458791 IBQ458769:IBQ458791 ILM458769:ILM458791 IVI458769:IVI458791 JFE458769:JFE458791 JPA458769:JPA458791 JYW458769:JYW458791 KIS458769:KIS458791 KSO458769:KSO458791 LCK458769:LCK458791 LMG458769:LMG458791 LWC458769:LWC458791 MFY458769:MFY458791 MPU458769:MPU458791 MZQ458769:MZQ458791 NJM458769:NJM458791 NTI458769:NTI458791 ODE458769:ODE458791 ONA458769:ONA458791 OWW458769:OWW458791 PGS458769:PGS458791 PQO458769:PQO458791 QAK458769:QAK458791 QKG458769:QKG458791 QUC458769:QUC458791 RDY458769:RDY458791 RNU458769:RNU458791 RXQ458769:RXQ458791 SHM458769:SHM458791 SRI458769:SRI458791 TBE458769:TBE458791 TLA458769:TLA458791 TUW458769:TUW458791 UES458769:UES458791 UOO458769:UOO458791 UYK458769:UYK458791 VIG458769:VIG458791 VSC458769:VSC458791 WBY458769:WBY458791 WLU458769:WLU458791 WVQ458769:WVQ458791 I524305:I524327 JE524305:JE524327 TA524305:TA524327 ACW524305:ACW524327 AMS524305:AMS524327 AWO524305:AWO524327 BGK524305:BGK524327 BQG524305:BQG524327 CAC524305:CAC524327 CJY524305:CJY524327 CTU524305:CTU524327 DDQ524305:DDQ524327 DNM524305:DNM524327 DXI524305:DXI524327 EHE524305:EHE524327 ERA524305:ERA524327 FAW524305:FAW524327 FKS524305:FKS524327 FUO524305:FUO524327 GEK524305:GEK524327 GOG524305:GOG524327 GYC524305:GYC524327 HHY524305:HHY524327 HRU524305:HRU524327 IBQ524305:IBQ524327 ILM524305:ILM524327 IVI524305:IVI524327 JFE524305:JFE524327 JPA524305:JPA524327 JYW524305:JYW524327 KIS524305:KIS524327 KSO524305:KSO524327 LCK524305:LCK524327 LMG524305:LMG524327 LWC524305:LWC524327 MFY524305:MFY524327 MPU524305:MPU524327 MZQ524305:MZQ524327 NJM524305:NJM524327 NTI524305:NTI524327 ODE524305:ODE524327 ONA524305:ONA524327 OWW524305:OWW524327 PGS524305:PGS524327 PQO524305:PQO524327 QAK524305:QAK524327 QKG524305:QKG524327 QUC524305:QUC524327 RDY524305:RDY524327 RNU524305:RNU524327 RXQ524305:RXQ524327 SHM524305:SHM524327 SRI524305:SRI524327 TBE524305:TBE524327 TLA524305:TLA524327 TUW524305:TUW524327 UES524305:UES524327 UOO524305:UOO524327 UYK524305:UYK524327 VIG524305:VIG524327 VSC524305:VSC524327 WBY524305:WBY524327 WLU524305:WLU524327 WVQ524305:WVQ524327 I589841:I589863 JE589841:JE589863 TA589841:TA589863 ACW589841:ACW589863 AMS589841:AMS589863 AWO589841:AWO589863 BGK589841:BGK589863 BQG589841:BQG589863 CAC589841:CAC589863 CJY589841:CJY589863 CTU589841:CTU589863 DDQ589841:DDQ589863 DNM589841:DNM589863 DXI589841:DXI589863 EHE589841:EHE589863 ERA589841:ERA589863 FAW589841:FAW589863 FKS589841:FKS589863 FUO589841:FUO589863 GEK589841:GEK589863 GOG589841:GOG589863 GYC589841:GYC589863 HHY589841:HHY589863 HRU589841:HRU589863 IBQ589841:IBQ589863 ILM589841:ILM589863 IVI589841:IVI589863 JFE589841:JFE589863 JPA589841:JPA589863 JYW589841:JYW589863 KIS589841:KIS589863 KSO589841:KSO589863 LCK589841:LCK589863 LMG589841:LMG589863 LWC589841:LWC589863 MFY589841:MFY589863 MPU589841:MPU589863 MZQ589841:MZQ589863 NJM589841:NJM589863 NTI589841:NTI589863 ODE589841:ODE589863 ONA589841:ONA589863 OWW589841:OWW589863 PGS589841:PGS589863 PQO589841:PQO589863 QAK589841:QAK589863 QKG589841:QKG589863 QUC589841:QUC589863 RDY589841:RDY589863 RNU589841:RNU589863 RXQ589841:RXQ589863 SHM589841:SHM589863 SRI589841:SRI589863 TBE589841:TBE589863 TLA589841:TLA589863 TUW589841:TUW589863 UES589841:UES589863 UOO589841:UOO589863 UYK589841:UYK589863 VIG589841:VIG589863 VSC589841:VSC589863 WBY589841:WBY589863 WLU589841:WLU589863 WVQ589841:WVQ589863 I655377:I655399 JE655377:JE655399 TA655377:TA655399 ACW655377:ACW655399 AMS655377:AMS655399 AWO655377:AWO655399 BGK655377:BGK655399 BQG655377:BQG655399 CAC655377:CAC655399 CJY655377:CJY655399 CTU655377:CTU655399 DDQ655377:DDQ655399 DNM655377:DNM655399 DXI655377:DXI655399 EHE655377:EHE655399 ERA655377:ERA655399 FAW655377:FAW655399 FKS655377:FKS655399 FUO655377:FUO655399 GEK655377:GEK655399 GOG655377:GOG655399 GYC655377:GYC655399 HHY655377:HHY655399 HRU655377:HRU655399 IBQ655377:IBQ655399 ILM655377:ILM655399 IVI655377:IVI655399 JFE655377:JFE655399 JPA655377:JPA655399 JYW655377:JYW655399 KIS655377:KIS655399 KSO655377:KSO655399 LCK655377:LCK655399 LMG655377:LMG655399 LWC655377:LWC655399 MFY655377:MFY655399 MPU655377:MPU655399 MZQ655377:MZQ655399 NJM655377:NJM655399 NTI655377:NTI655399 ODE655377:ODE655399 ONA655377:ONA655399 OWW655377:OWW655399 PGS655377:PGS655399 PQO655377:PQO655399 QAK655377:QAK655399 QKG655377:QKG655399 QUC655377:QUC655399 RDY655377:RDY655399 RNU655377:RNU655399 RXQ655377:RXQ655399 SHM655377:SHM655399 SRI655377:SRI655399 TBE655377:TBE655399 TLA655377:TLA655399 TUW655377:TUW655399 UES655377:UES655399 UOO655377:UOO655399 UYK655377:UYK655399 VIG655377:VIG655399 VSC655377:VSC655399 WBY655377:WBY655399 WLU655377:WLU655399 WVQ655377:WVQ655399 I720913:I720935 JE720913:JE720935 TA720913:TA720935 ACW720913:ACW720935 AMS720913:AMS720935 AWO720913:AWO720935 BGK720913:BGK720935 BQG720913:BQG720935 CAC720913:CAC720935 CJY720913:CJY720935 CTU720913:CTU720935 DDQ720913:DDQ720935 DNM720913:DNM720935 DXI720913:DXI720935 EHE720913:EHE720935 ERA720913:ERA720935 FAW720913:FAW720935 FKS720913:FKS720935 FUO720913:FUO720935 GEK720913:GEK720935 GOG720913:GOG720935 GYC720913:GYC720935 HHY720913:HHY720935 HRU720913:HRU720935 IBQ720913:IBQ720935 ILM720913:ILM720935 IVI720913:IVI720935 JFE720913:JFE720935 JPA720913:JPA720935 JYW720913:JYW720935 KIS720913:KIS720935 KSO720913:KSO720935 LCK720913:LCK720935 LMG720913:LMG720935 LWC720913:LWC720935 MFY720913:MFY720935 MPU720913:MPU720935 MZQ720913:MZQ720935 NJM720913:NJM720935 NTI720913:NTI720935 ODE720913:ODE720935 ONA720913:ONA720935 OWW720913:OWW720935 PGS720913:PGS720935 PQO720913:PQO720935 QAK720913:QAK720935 QKG720913:QKG720935 QUC720913:QUC720935 RDY720913:RDY720935 RNU720913:RNU720935 RXQ720913:RXQ720935 SHM720913:SHM720935 SRI720913:SRI720935 TBE720913:TBE720935 TLA720913:TLA720935 TUW720913:TUW720935 UES720913:UES720935 UOO720913:UOO720935 UYK720913:UYK720935 VIG720913:VIG720935 VSC720913:VSC720935 WBY720913:WBY720935 WLU720913:WLU720935 WVQ720913:WVQ720935 I786449:I786471 JE786449:JE786471 TA786449:TA786471 ACW786449:ACW786471 AMS786449:AMS786471 AWO786449:AWO786471 BGK786449:BGK786471 BQG786449:BQG786471 CAC786449:CAC786471 CJY786449:CJY786471 CTU786449:CTU786471 DDQ786449:DDQ786471 DNM786449:DNM786471 DXI786449:DXI786471 EHE786449:EHE786471 ERA786449:ERA786471 FAW786449:FAW786471 FKS786449:FKS786471 FUO786449:FUO786471 GEK786449:GEK786471 GOG786449:GOG786471 GYC786449:GYC786471 HHY786449:HHY786471 HRU786449:HRU786471 IBQ786449:IBQ786471 ILM786449:ILM786471 IVI786449:IVI786471 JFE786449:JFE786471 JPA786449:JPA786471 JYW786449:JYW786471 KIS786449:KIS786471 KSO786449:KSO786471 LCK786449:LCK786471 LMG786449:LMG786471 LWC786449:LWC786471 MFY786449:MFY786471 MPU786449:MPU786471 MZQ786449:MZQ786471 NJM786449:NJM786471 NTI786449:NTI786471 ODE786449:ODE786471 ONA786449:ONA786471 OWW786449:OWW786471 PGS786449:PGS786471 PQO786449:PQO786471 QAK786449:QAK786471 QKG786449:QKG786471 QUC786449:QUC786471 RDY786449:RDY786471 RNU786449:RNU786471 RXQ786449:RXQ786471 SHM786449:SHM786471 SRI786449:SRI786471 TBE786449:TBE786471 TLA786449:TLA786471 TUW786449:TUW786471 UES786449:UES786471 UOO786449:UOO786471 UYK786449:UYK786471 VIG786449:VIG786471 VSC786449:VSC786471 WBY786449:WBY786471 WLU786449:WLU786471 WVQ786449:WVQ786471 I851985:I852007 JE851985:JE852007 TA851985:TA852007 ACW851985:ACW852007 AMS851985:AMS852007 AWO851985:AWO852007 BGK851985:BGK852007 BQG851985:BQG852007 CAC851985:CAC852007 CJY851985:CJY852007 CTU851985:CTU852007 DDQ851985:DDQ852007 DNM851985:DNM852007 DXI851985:DXI852007 EHE851985:EHE852007 ERA851985:ERA852007 FAW851985:FAW852007 FKS851985:FKS852007 FUO851985:FUO852007 GEK851985:GEK852007 GOG851985:GOG852007 GYC851985:GYC852007 HHY851985:HHY852007 HRU851985:HRU852007 IBQ851985:IBQ852007 ILM851985:ILM852007 IVI851985:IVI852007 JFE851985:JFE852007 JPA851985:JPA852007 JYW851985:JYW852007 KIS851985:KIS852007 KSO851985:KSO852007 LCK851985:LCK852007 LMG851985:LMG852007 LWC851985:LWC852007 MFY851985:MFY852007 MPU851985:MPU852007 MZQ851985:MZQ852007 NJM851985:NJM852007 NTI851985:NTI852007 ODE851985:ODE852007 ONA851985:ONA852007 OWW851985:OWW852007 PGS851985:PGS852007 PQO851985:PQO852007 QAK851985:QAK852007 QKG851985:QKG852007 QUC851985:QUC852007 RDY851985:RDY852007 RNU851985:RNU852007 RXQ851985:RXQ852007 SHM851985:SHM852007 SRI851985:SRI852007 TBE851985:TBE852007 TLA851985:TLA852007 TUW851985:TUW852007 UES851985:UES852007 UOO851985:UOO852007 UYK851985:UYK852007 VIG851985:VIG852007 VSC851985:VSC852007 WBY851985:WBY852007 WLU851985:WLU852007 WVQ851985:WVQ852007 I917521:I917543 JE917521:JE917543 TA917521:TA917543 ACW917521:ACW917543 AMS917521:AMS917543 AWO917521:AWO917543 BGK917521:BGK917543 BQG917521:BQG917543 CAC917521:CAC917543 CJY917521:CJY917543 CTU917521:CTU917543 DDQ917521:DDQ917543 DNM917521:DNM917543 DXI917521:DXI917543 EHE917521:EHE917543 ERA917521:ERA917543 FAW917521:FAW917543 FKS917521:FKS917543 FUO917521:FUO917543 GEK917521:GEK917543 GOG917521:GOG917543 GYC917521:GYC917543 HHY917521:HHY917543 HRU917521:HRU917543 IBQ917521:IBQ917543 ILM917521:ILM917543 IVI917521:IVI917543 JFE917521:JFE917543 JPA917521:JPA917543 JYW917521:JYW917543 KIS917521:KIS917543 KSO917521:KSO917543 LCK917521:LCK917543 LMG917521:LMG917543 LWC917521:LWC917543 MFY917521:MFY917543 MPU917521:MPU917543 MZQ917521:MZQ917543 NJM917521:NJM917543 NTI917521:NTI917543 ODE917521:ODE917543 ONA917521:ONA917543 OWW917521:OWW917543 PGS917521:PGS917543 PQO917521:PQO917543 QAK917521:QAK917543 QKG917521:QKG917543 QUC917521:QUC917543 RDY917521:RDY917543 RNU917521:RNU917543 RXQ917521:RXQ917543 SHM917521:SHM917543 SRI917521:SRI917543 TBE917521:TBE917543 TLA917521:TLA917543 TUW917521:TUW917543 UES917521:UES917543 UOO917521:UOO917543 UYK917521:UYK917543 VIG917521:VIG917543 VSC917521:VSC917543 WBY917521:WBY917543 WLU917521:WLU917543 WVQ917521:WVQ917543 I983057:I983079 JE983057:JE983079 TA983057:TA983079 ACW983057:ACW983079 AMS983057:AMS983079 AWO983057:AWO983079 BGK983057:BGK983079 BQG983057:BQG983079 CAC983057:CAC983079 CJY983057:CJY983079 CTU983057:CTU983079 DDQ983057:DDQ983079 DNM983057:DNM983079 DXI983057:DXI983079 EHE983057:EHE983079 ERA983057:ERA983079 FAW983057:FAW983079 FKS983057:FKS983079 FUO983057:FUO983079 GEK983057:GEK983079 GOG983057:GOG983079 GYC983057:GYC983079 HHY983057:HHY983079 HRU983057:HRU983079 IBQ983057:IBQ983079 ILM983057:ILM983079 IVI983057:IVI983079 JFE983057:JFE983079 JPA983057:JPA983079 JYW983057:JYW983079 KIS983057:KIS983079 KSO983057:KSO983079 LCK983057:LCK983079 LMG983057:LMG983079 LWC983057:LWC983079 MFY983057:MFY983079 MPU983057:MPU983079 MZQ983057:MZQ983079 NJM983057:NJM983079 NTI983057:NTI983079 ODE983057:ODE983079 ONA983057:ONA983079 OWW983057:OWW983079 PGS983057:PGS983079 PQO983057:PQO983079 QAK983057:QAK983079 QKG983057:QKG983079 QUC983057:QUC983079 RDY983057:RDY983079 RNU983057:RNU983079 RXQ983057:RXQ983079 SHM983057:SHM983079 SRI983057:SRI983079 TBE983057:TBE983079 TLA983057:TLA983079 TUW983057:TUW983079 UES983057:UES983079 UOO983057:UOO983079 UYK983057:UYK983079 VIG983057:VIG983079 VSC983057:VSC983079 WBY983057:WBY983079 WLU983057:WLU983079 WVQ983057:WVQ983079">
      <formula1>"■基线,□观测项"</formula1>
    </dataValidation>
    <dataValidation type="list" allowBlank="1" showInputMessage="1" showErrorMessage="1" sqref="F65624:F65631 JB65624:JB65631 SX65624:SX65631 ACT65624:ACT65631 AMP65624:AMP65631 AWL65624:AWL65631 BGH65624:BGH65631 BQD65624:BQD65631 BZZ65624:BZZ65631 CJV65624:CJV65631 CTR65624:CTR65631 DDN65624:DDN65631 DNJ65624:DNJ65631 DXF65624:DXF65631 EHB65624:EHB65631 EQX65624:EQX65631 FAT65624:FAT65631 FKP65624:FKP65631 FUL65624:FUL65631 GEH65624:GEH65631 GOD65624:GOD65631 GXZ65624:GXZ65631 HHV65624:HHV65631 HRR65624:HRR65631 IBN65624:IBN65631 ILJ65624:ILJ65631 IVF65624:IVF65631 JFB65624:JFB65631 JOX65624:JOX65631 JYT65624:JYT65631 KIP65624:KIP65631 KSL65624:KSL65631 LCH65624:LCH65631 LMD65624:LMD65631 LVZ65624:LVZ65631 MFV65624:MFV65631 MPR65624:MPR65631 MZN65624:MZN65631 NJJ65624:NJJ65631 NTF65624:NTF65631 ODB65624:ODB65631 OMX65624:OMX65631 OWT65624:OWT65631 PGP65624:PGP65631 PQL65624:PQL65631 QAH65624:QAH65631 QKD65624:QKD65631 QTZ65624:QTZ65631 RDV65624:RDV65631 RNR65624:RNR65631 RXN65624:RXN65631 SHJ65624:SHJ65631 SRF65624:SRF65631 TBB65624:TBB65631 TKX65624:TKX65631 TUT65624:TUT65631 UEP65624:UEP65631 UOL65624:UOL65631 UYH65624:UYH65631 VID65624:VID65631 VRZ65624:VRZ65631 WBV65624:WBV65631 WLR65624:WLR65631 WVN65624:WVN65631 F131160:F131167 JB131160:JB131167 SX131160:SX131167 ACT131160:ACT131167 AMP131160:AMP131167 AWL131160:AWL131167 BGH131160:BGH131167 BQD131160:BQD131167 BZZ131160:BZZ131167 CJV131160:CJV131167 CTR131160:CTR131167 DDN131160:DDN131167 DNJ131160:DNJ131167 DXF131160:DXF131167 EHB131160:EHB131167 EQX131160:EQX131167 FAT131160:FAT131167 FKP131160:FKP131167 FUL131160:FUL131167 GEH131160:GEH131167 GOD131160:GOD131167 GXZ131160:GXZ131167 HHV131160:HHV131167 HRR131160:HRR131167 IBN131160:IBN131167 ILJ131160:ILJ131167 IVF131160:IVF131167 JFB131160:JFB131167 JOX131160:JOX131167 JYT131160:JYT131167 KIP131160:KIP131167 KSL131160:KSL131167 LCH131160:LCH131167 LMD131160:LMD131167 LVZ131160:LVZ131167 MFV131160:MFV131167 MPR131160:MPR131167 MZN131160:MZN131167 NJJ131160:NJJ131167 NTF131160:NTF131167 ODB131160:ODB131167 OMX131160:OMX131167 OWT131160:OWT131167 PGP131160:PGP131167 PQL131160:PQL131167 QAH131160:QAH131167 QKD131160:QKD131167 QTZ131160:QTZ131167 RDV131160:RDV131167 RNR131160:RNR131167 RXN131160:RXN131167 SHJ131160:SHJ131167 SRF131160:SRF131167 TBB131160:TBB131167 TKX131160:TKX131167 TUT131160:TUT131167 UEP131160:UEP131167 UOL131160:UOL131167 UYH131160:UYH131167 VID131160:VID131167 VRZ131160:VRZ131167 WBV131160:WBV131167 WLR131160:WLR131167 WVN131160:WVN131167 F196696:F196703 JB196696:JB196703 SX196696:SX196703 ACT196696:ACT196703 AMP196696:AMP196703 AWL196696:AWL196703 BGH196696:BGH196703 BQD196696:BQD196703 BZZ196696:BZZ196703 CJV196696:CJV196703 CTR196696:CTR196703 DDN196696:DDN196703 DNJ196696:DNJ196703 DXF196696:DXF196703 EHB196696:EHB196703 EQX196696:EQX196703 FAT196696:FAT196703 FKP196696:FKP196703 FUL196696:FUL196703 GEH196696:GEH196703 GOD196696:GOD196703 GXZ196696:GXZ196703 HHV196696:HHV196703 HRR196696:HRR196703 IBN196696:IBN196703 ILJ196696:ILJ196703 IVF196696:IVF196703 JFB196696:JFB196703 JOX196696:JOX196703 JYT196696:JYT196703 KIP196696:KIP196703 KSL196696:KSL196703 LCH196696:LCH196703 LMD196696:LMD196703 LVZ196696:LVZ196703 MFV196696:MFV196703 MPR196696:MPR196703 MZN196696:MZN196703 NJJ196696:NJJ196703 NTF196696:NTF196703 ODB196696:ODB196703 OMX196696:OMX196703 OWT196696:OWT196703 PGP196696:PGP196703 PQL196696:PQL196703 QAH196696:QAH196703 QKD196696:QKD196703 QTZ196696:QTZ196703 RDV196696:RDV196703 RNR196696:RNR196703 RXN196696:RXN196703 SHJ196696:SHJ196703 SRF196696:SRF196703 TBB196696:TBB196703 TKX196696:TKX196703 TUT196696:TUT196703 UEP196696:UEP196703 UOL196696:UOL196703 UYH196696:UYH196703 VID196696:VID196703 VRZ196696:VRZ196703 WBV196696:WBV196703 WLR196696:WLR196703 WVN196696:WVN196703 F262232:F262239 JB262232:JB262239 SX262232:SX262239 ACT262232:ACT262239 AMP262232:AMP262239 AWL262232:AWL262239 BGH262232:BGH262239 BQD262232:BQD262239 BZZ262232:BZZ262239 CJV262232:CJV262239 CTR262232:CTR262239 DDN262232:DDN262239 DNJ262232:DNJ262239 DXF262232:DXF262239 EHB262232:EHB262239 EQX262232:EQX262239 FAT262232:FAT262239 FKP262232:FKP262239 FUL262232:FUL262239 GEH262232:GEH262239 GOD262232:GOD262239 GXZ262232:GXZ262239 HHV262232:HHV262239 HRR262232:HRR262239 IBN262232:IBN262239 ILJ262232:ILJ262239 IVF262232:IVF262239 JFB262232:JFB262239 JOX262232:JOX262239 JYT262232:JYT262239 KIP262232:KIP262239 KSL262232:KSL262239 LCH262232:LCH262239 LMD262232:LMD262239 LVZ262232:LVZ262239 MFV262232:MFV262239 MPR262232:MPR262239 MZN262232:MZN262239 NJJ262232:NJJ262239 NTF262232:NTF262239 ODB262232:ODB262239 OMX262232:OMX262239 OWT262232:OWT262239 PGP262232:PGP262239 PQL262232:PQL262239 QAH262232:QAH262239 QKD262232:QKD262239 QTZ262232:QTZ262239 RDV262232:RDV262239 RNR262232:RNR262239 RXN262232:RXN262239 SHJ262232:SHJ262239 SRF262232:SRF262239 TBB262232:TBB262239 TKX262232:TKX262239 TUT262232:TUT262239 UEP262232:UEP262239 UOL262232:UOL262239 UYH262232:UYH262239 VID262232:VID262239 VRZ262232:VRZ262239 WBV262232:WBV262239 WLR262232:WLR262239 WVN262232:WVN262239 F327768:F327775 JB327768:JB327775 SX327768:SX327775 ACT327768:ACT327775 AMP327768:AMP327775 AWL327768:AWL327775 BGH327768:BGH327775 BQD327768:BQD327775 BZZ327768:BZZ327775 CJV327768:CJV327775 CTR327768:CTR327775 DDN327768:DDN327775 DNJ327768:DNJ327775 DXF327768:DXF327775 EHB327768:EHB327775 EQX327768:EQX327775 FAT327768:FAT327775 FKP327768:FKP327775 FUL327768:FUL327775 GEH327768:GEH327775 GOD327768:GOD327775 GXZ327768:GXZ327775 HHV327768:HHV327775 HRR327768:HRR327775 IBN327768:IBN327775 ILJ327768:ILJ327775 IVF327768:IVF327775 JFB327768:JFB327775 JOX327768:JOX327775 JYT327768:JYT327775 KIP327768:KIP327775 KSL327768:KSL327775 LCH327768:LCH327775 LMD327768:LMD327775 LVZ327768:LVZ327775 MFV327768:MFV327775 MPR327768:MPR327775 MZN327768:MZN327775 NJJ327768:NJJ327775 NTF327768:NTF327775 ODB327768:ODB327775 OMX327768:OMX327775 OWT327768:OWT327775 PGP327768:PGP327775 PQL327768:PQL327775 QAH327768:QAH327775 QKD327768:QKD327775 QTZ327768:QTZ327775 RDV327768:RDV327775 RNR327768:RNR327775 RXN327768:RXN327775 SHJ327768:SHJ327775 SRF327768:SRF327775 TBB327768:TBB327775 TKX327768:TKX327775 TUT327768:TUT327775 UEP327768:UEP327775 UOL327768:UOL327775 UYH327768:UYH327775 VID327768:VID327775 VRZ327768:VRZ327775 WBV327768:WBV327775 WLR327768:WLR327775 WVN327768:WVN327775 F393304:F393311 JB393304:JB393311 SX393304:SX393311 ACT393304:ACT393311 AMP393304:AMP393311 AWL393304:AWL393311 BGH393304:BGH393311 BQD393304:BQD393311 BZZ393304:BZZ393311 CJV393304:CJV393311 CTR393304:CTR393311 DDN393304:DDN393311 DNJ393304:DNJ393311 DXF393304:DXF393311 EHB393304:EHB393311 EQX393304:EQX393311 FAT393304:FAT393311 FKP393304:FKP393311 FUL393304:FUL393311 GEH393304:GEH393311 GOD393304:GOD393311 GXZ393304:GXZ393311 HHV393304:HHV393311 HRR393304:HRR393311 IBN393304:IBN393311 ILJ393304:ILJ393311 IVF393304:IVF393311 JFB393304:JFB393311 JOX393304:JOX393311 JYT393304:JYT393311 KIP393304:KIP393311 KSL393304:KSL393311 LCH393304:LCH393311 LMD393304:LMD393311 LVZ393304:LVZ393311 MFV393304:MFV393311 MPR393304:MPR393311 MZN393304:MZN393311 NJJ393304:NJJ393311 NTF393304:NTF393311 ODB393304:ODB393311 OMX393304:OMX393311 OWT393304:OWT393311 PGP393304:PGP393311 PQL393304:PQL393311 QAH393304:QAH393311 QKD393304:QKD393311 QTZ393304:QTZ393311 RDV393304:RDV393311 RNR393304:RNR393311 RXN393304:RXN393311 SHJ393304:SHJ393311 SRF393304:SRF393311 TBB393304:TBB393311 TKX393304:TKX393311 TUT393304:TUT393311 UEP393304:UEP393311 UOL393304:UOL393311 UYH393304:UYH393311 VID393304:VID393311 VRZ393304:VRZ393311 WBV393304:WBV393311 WLR393304:WLR393311 WVN393304:WVN393311 F458840:F458847 JB458840:JB458847 SX458840:SX458847 ACT458840:ACT458847 AMP458840:AMP458847 AWL458840:AWL458847 BGH458840:BGH458847 BQD458840:BQD458847 BZZ458840:BZZ458847 CJV458840:CJV458847 CTR458840:CTR458847 DDN458840:DDN458847 DNJ458840:DNJ458847 DXF458840:DXF458847 EHB458840:EHB458847 EQX458840:EQX458847 FAT458840:FAT458847 FKP458840:FKP458847 FUL458840:FUL458847 GEH458840:GEH458847 GOD458840:GOD458847 GXZ458840:GXZ458847 HHV458840:HHV458847 HRR458840:HRR458847 IBN458840:IBN458847 ILJ458840:ILJ458847 IVF458840:IVF458847 JFB458840:JFB458847 JOX458840:JOX458847 JYT458840:JYT458847 KIP458840:KIP458847 KSL458840:KSL458847 LCH458840:LCH458847 LMD458840:LMD458847 LVZ458840:LVZ458847 MFV458840:MFV458847 MPR458840:MPR458847 MZN458840:MZN458847 NJJ458840:NJJ458847 NTF458840:NTF458847 ODB458840:ODB458847 OMX458840:OMX458847 OWT458840:OWT458847 PGP458840:PGP458847 PQL458840:PQL458847 QAH458840:QAH458847 QKD458840:QKD458847 QTZ458840:QTZ458847 RDV458840:RDV458847 RNR458840:RNR458847 RXN458840:RXN458847 SHJ458840:SHJ458847 SRF458840:SRF458847 TBB458840:TBB458847 TKX458840:TKX458847 TUT458840:TUT458847 UEP458840:UEP458847 UOL458840:UOL458847 UYH458840:UYH458847 VID458840:VID458847 VRZ458840:VRZ458847 WBV458840:WBV458847 WLR458840:WLR458847 WVN458840:WVN458847 F524376:F524383 JB524376:JB524383 SX524376:SX524383 ACT524376:ACT524383 AMP524376:AMP524383 AWL524376:AWL524383 BGH524376:BGH524383 BQD524376:BQD524383 BZZ524376:BZZ524383 CJV524376:CJV524383 CTR524376:CTR524383 DDN524376:DDN524383 DNJ524376:DNJ524383 DXF524376:DXF524383 EHB524376:EHB524383 EQX524376:EQX524383 FAT524376:FAT524383 FKP524376:FKP524383 FUL524376:FUL524383 GEH524376:GEH524383 GOD524376:GOD524383 GXZ524376:GXZ524383 HHV524376:HHV524383 HRR524376:HRR524383 IBN524376:IBN524383 ILJ524376:ILJ524383 IVF524376:IVF524383 JFB524376:JFB524383 JOX524376:JOX524383 JYT524376:JYT524383 KIP524376:KIP524383 KSL524376:KSL524383 LCH524376:LCH524383 LMD524376:LMD524383 LVZ524376:LVZ524383 MFV524376:MFV524383 MPR524376:MPR524383 MZN524376:MZN524383 NJJ524376:NJJ524383 NTF524376:NTF524383 ODB524376:ODB524383 OMX524376:OMX524383 OWT524376:OWT524383 PGP524376:PGP524383 PQL524376:PQL524383 QAH524376:QAH524383 QKD524376:QKD524383 QTZ524376:QTZ524383 RDV524376:RDV524383 RNR524376:RNR524383 RXN524376:RXN524383 SHJ524376:SHJ524383 SRF524376:SRF524383 TBB524376:TBB524383 TKX524376:TKX524383 TUT524376:TUT524383 UEP524376:UEP524383 UOL524376:UOL524383 UYH524376:UYH524383 VID524376:VID524383 VRZ524376:VRZ524383 WBV524376:WBV524383 WLR524376:WLR524383 WVN524376:WVN524383 F589912:F589919 JB589912:JB589919 SX589912:SX589919 ACT589912:ACT589919 AMP589912:AMP589919 AWL589912:AWL589919 BGH589912:BGH589919 BQD589912:BQD589919 BZZ589912:BZZ589919 CJV589912:CJV589919 CTR589912:CTR589919 DDN589912:DDN589919 DNJ589912:DNJ589919 DXF589912:DXF589919 EHB589912:EHB589919 EQX589912:EQX589919 FAT589912:FAT589919 FKP589912:FKP589919 FUL589912:FUL589919 GEH589912:GEH589919 GOD589912:GOD589919 GXZ589912:GXZ589919 HHV589912:HHV589919 HRR589912:HRR589919 IBN589912:IBN589919 ILJ589912:ILJ589919 IVF589912:IVF589919 JFB589912:JFB589919 JOX589912:JOX589919 JYT589912:JYT589919 KIP589912:KIP589919 KSL589912:KSL589919 LCH589912:LCH589919 LMD589912:LMD589919 LVZ589912:LVZ589919 MFV589912:MFV589919 MPR589912:MPR589919 MZN589912:MZN589919 NJJ589912:NJJ589919 NTF589912:NTF589919 ODB589912:ODB589919 OMX589912:OMX589919 OWT589912:OWT589919 PGP589912:PGP589919 PQL589912:PQL589919 QAH589912:QAH589919 QKD589912:QKD589919 QTZ589912:QTZ589919 RDV589912:RDV589919 RNR589912:RNR589919 RXN589912:RXN589919 SHJ589912:SHJ589919 SRF589912:SRF589919 TBB589912:TBB589919 TKX589912:TKX589919 TUT589912:TUT589919 UEP589912:UEP589919 UOL589912:UOL589919 UYH589912:UYH589919 VID589912:VID589919 VRZ589912:VRZ589919 WBV589912:WBV589919 WLR589912:WLR589919 WVN589912:WVN589919 F655448:F655455 JB655448:JB655455 SX655448:SX655455 ACT655448:ACT655455 AMP655448:AMP655455 AWL655448:AWL655455 BGH655448:BGH655455 BQD655448:BQD655455 BZZ655448:BZZ655455 CJV655448:CJV655455 CTR655448:CTR655455 DDN655448:DDN655455 DNJ655448:DNJ655455 DXF655448:DXF655455 EHB655448:EHB655455 EQX655448:EQX655455 FAT655448:FAT655455 FKP655448:FKP655455 FUL655448:FUL655455 GEH655448:GEH655455 GOD655448:GOD655455 GXZ655448:GXZ655455 HHV655448:HHV655455 HRR655448:HRR655455 IBN655448:IBN655455 ILJ655448:ILJ655455 IVF655448:IVF655455 JFB655448:JFB655455 JOX655448:JOX655455 JYT655448:JYT655455 KIP655448:KIP655455 KSL655448:KSL655455 LCH655448:LCH655455 LMD655448:LMD655455 LVZ655448:LVZ655455 MFV655448:MFV655455 MPR655448:MPR655455 MZN655448:MZN655455 NJJ655448:NJJ655455 NTF655448:NTF655455 ODB655448:ODB655455 OMX655448:OMX655455 OWT655448:OWT655455 PGP655448:PGP655455 PQL655448:PQL655455 QAH655448:QAH655455 QKD655448:QKD655455 QTZ655448:QTZ655455 RDV655448:RDV655455 RNR655448:RNR655455 RXN655448:RXN655455 SHJ655448:SHJ655455 SRF655448:SRF655455 TBB655448:TBB655455 TKX655448:TKX655455 TUT655448:TUT655455 UEP655448:UEP655455 UOL655448:UOL655455 UYH655448:UYH655455 VID655448:VID655455 VRZ655448:VRZ655455 WBV655448:WBV655455 WLR655448:WLR655455 WVN655448:WVN655455 F720984:F720991 JB720984:JB720991 SX720984:SX720991 ACT720984:ACT720991 AMP720984:AMP720991 AWL720984:AWL720991 BGH720984:BGH720991 BQD720984:BQD720991 BZZ720984:BZZ720991 CJV720984:CJV720991 CTR720984:CTR720991 DDN720984:DDN720991 DNJ720984:DNJ720991 DXF720984:DXF720991 EHB720984:EHB720991 EQX720984:EQX720991 FAT720984:FAT720991 FKP720984:FKP720991 FUL720984:FUL720991 GEH720984:GEH720991 GOD720984:GOD720991 GXZ720984:GXZ720991 HHV720984:HHV720991 HRR720984:HRR720991 IBN720984:IBN720991 ILJ720984:ILJ720991 IVF720984:IVF720991 JFB720984:JFB720991 JOX720984:JOX720991 JYT720984:JYT720991 KIP720984:KIP720991 KSL720984:KSL720991 LCH720984:LCH720991 LMD720984:LMD720991 LVZ720984:LVZ720991 MFV720984:MFV720991 MPR720984:MPR720991 MZN720984:MZN720991 NJJ720984:NJJ720991 NTF720984:NTF720991 ODB720984:ODB720991 OMX720984:OMX720991 OWT720984:OWT720991 PGP720984:PGP720991 PQL720984:PQL720991 QAH720984:QAH720991 QKD720984:QKD720991 QTZ720984:QTZ720991 RDV720984:RDV720991 RNR720984:RNR720991 RXN720984:RXN720991 SHJ720984:SHJ720991 SRF720984:SRF720991 TBB720984:TBB720991 TKX720984:TKX720991 TUT720984:TUT720991 UEP720984:UEP720991 UOL720984:UOL720991 UYH720984:UYH720991 VID720984:VID720991 VRZ720984:VRZ720991 WBV720984:WBV720991 WLR720984:WLR720991 WVN720984:WVN720991 F786520:F786527 JB786520:JB786527 SX786520:SX786527 ACT786520:ACT786527 AMP786520:AMP786527 AWL786520:AWL786527 BGH786520:BGH786527 BQD786520:BQD786527 BZZ786520:BZZ786527 CJV786520:CJV786527 CTR786520:CTR786527 DDN786520:DDN786527 DNJ786520:DNJ786527 DXF786520:DXF786527 EHB786520:EHB786527 EQX786520:EQX786527 FAT786520:FAT786527 FKP786520:FKP786527 FUL786520:FUL786527 GEH786520:GEH786527 GOD786520:GOD786527 GXZ786520:GXZ786527 HHV786520:HHV786527 HRR786520:HRR786527 IBN786520:IBN786527 ILJ786520:ILJ786527 IVF786520:IVF786527 JFB786520:JFB786527 JOX786520:JOX786527 JYT786520:JYT786527 KIP786520:KIP786527 KSL786520:KSL786527 LCH786520:LCH786527 LMD786520:LMD786527 LVZ786520:LVZ786527 MFV786520:MFV786527 MPR786520:MPR786527 MZN786520:MZN786527 NJJ786520:NJJ786527 NTF786520:NTF786527 ODB786520:ODB786527 OMX786520:OMX786527 OWT786520:OWT786527 PGP786520:PGP786527 PQL786520:PQL786527 QAH786520:QAH786527 QKD786520:QKD786527 QTZ786520:QTZ786527 RDV786520:RDV786527 RNR786520:RNR786527 RXN786520:RXN786527 SHJ786520:SHJ786527 SRF786520:SRF786527 TBB786520:TBB786527 TKX786520:TKX786527 TUT786520:TUT786527 UEP786520:UEP786527 UOL786520:UOL786527 UYH786520:UYH786527 VID786520:VID786527 VRZ786520:VRZ786527 WBV786520:WBV786527 WLR786520:WLR786527 WVN786520:WVN786527 F852056:F852063 JB852056:JB852063 SX852056:SX852063 ACT852056:ACT852063 AMP852056:AMP852063 AWL852056:AWL852063 BGH852056:BGH852063 BQD852056:BQD852063 BZZ852056:BZZ852063 CJV852056:CJV852063 CTR852056:CTR852063 DDN852056:DDN852063 DNJ852056:DNJ852063 DXF852056:DXF852063 EHB852056:EHB852063 EQX852056:EQX852063 FAT852056:FAT852063 FKP852056:FKP852063 FUL852056:FUL852063 GEH852056:GEH852063 GOD852056:GOD852063 GXZ852056:GXZ852063 HHV852056:HHV852063 HRR852056:HRR852063 IBN852056:IBN852063 ILJ852056:ILJ852063 IVF852056:IVF852063 JFB852056:JFB852063 JOX852056:JOX852063 JYT852056:JYT852063 KIP852056:KIP852063 KSL852056:KSL852063 LCH852056:LCH852063 LMD852056:LMD852063 LVZ852056:LVZ852063 MFV852056:MFV852063 MPR852056:MPR852063 MZN852056:MZN852063 NJJ852056:NJJ852063 NTF852056:NTF852063 ODB852056:ODB852063 OMX852056:OMX852063 OWT852056:OWT852063 PGP852056:PGP852063 PQL852056:PQL852063 QAH852056:QAH852063 QKD852056:QKD852063 QTZ852056:QTZ852063 RDV852056:RDV852063 RNR852056:RNR852063 RXN852056:RXN852063 SHJ852056:SHJ852063 SRF852056:SRF852063 TBB852056:TBB852063 TKX852056:TKX852063 TUT852056:TUT852063 UEP852056:UEP852063 UOL852056:UOL852063 UYH852056:UYH852063 VID852056:VID852063 VRZ852056:VRZ852063 WBV852056:WBV852063 WLR852056:WLR852063 WVN852056:WVN852063 F917592:F917599 JB917592:JB917599 SX917592:SX917599 ACT917592:ACT917599 AMP917592:AMP917599 AWL917592:AWL917599 BGH917592:BGH917599 BQD917592:BQD917599 BZZ917592:BZZ917599 CJV917592:CJV917599 CTR917592:CTR917599 DDN917592:DDN917599 DNJ917592:DNJ917599 DXF917592:DXF917599 EHB917592:EHB917599 EQX917592:EQX917599 FAT917592:FAT917599 FKP917592:FKP917599 FUL917592:FUL917599 GEH917592:GEH917599 GOD917592:GOD917599 GXZ917592:GXZ917599 HHV917592:HHV917599 HRR917592:HRR917599 IBN917592:IBN917599 ILJ917592:ILJ917599 IVF917592:IVF917599 JFB917592:JFB917599 JOX917592:JOX917599 JYT917592:JYT917599 KIP917592:KIP917599 KSL917592:KSL917599 LCH917592:LCH917599 LMD917592:LMD917599 LVZ917592:LVZ917599 MFV917592:MFV917599 MPR917592:MPR917599 MZN917592:MZN917599 NJJ917592:NJJ917599 NTF917592:NTF917599 ODB917592:ODB917599 OMX917592:OMX917599 OWT917592:OWT917599 PGP917592:PGP917599 PQL917592:PQL917599 QAH917592:QAH917599 QKD917592:QKD917599 QTZ917592:QTZ917599 RDV917592:RDV917599 RNR917592:RNR917599 RXN917592:RXN917599 SHJ917592:SHJ917599 SRF917592:SRF917599 TBB917592:TBB917599 TKX917592:TKX917599 TUT917592:TUT917599 UEP917592:UEP917599 UOL917592:UOL917599 UYH917592:UYH917599 VID917592:VID917599 VRZ917592:VRZ917599 WBV917592:WBV917599 WLR917592:WLR917599 WVN917592:WVN917599 F983128:F983135 JB983128:JB983135 SX983128:SX983135 ACT983128:ACT983135 AMP983128:AMP983135 AWL983128:AWL983135 BGH983128:BGH983135 BQD983128:BQD983135 BZZ983128:BZZ983135 CJV983128:CJV983135 CTR983128:CTR983135 DDN983128:DDN983135 DNJ983128:DNJ983135 DXF983128:DXF983135 EHB983128:EHB983135 EQX983128:EQX983135 FAT983128:FAT983135 FKP983128:FKP983135 FUL983128:FUL983135 GEH983128:GEH983135 GOD983128:GOD983135 GXZ983128:GXZ983135 HHV983128:HHV983135 HRR983128:HRR983135 IBN983128:IBN983135 ILJ983128:ILJ983135 IVF983128:IVF983135 JFB983128:JFB983135 JOX983128:JOX983135 JYT983128:JYT983135 KIP983128:KIP983135 KSL983128:KSL983135 LCH983128:LCH983135 LMD983128:LMD983135 LVZ983128:LVZ983135 MFV983128:MFV983135 MPR983128:MPR983135 MZN983128:MZN983135 NJJ983128:NJJ983135 NTF983128:NTF983135 ODB983128:ODB983135 OMX983128:OMX983135 OWT983128:OWT983135 PGP983128:PGP983135 PQL983128:PQL983135 QAH983128:QAH983135 QKD983128:QKD983135 QTZ983128:QTZ983135 RDV983128:RDV983135 RNR983128:RNR983135 RXN983128:RXN983135 SHJ983128:SHJ983135 SRF983128:SRF983135 TBB983128:TBB983135 TKX983128:TKX983135 TUT983128:TUT983135 UEP983128:UEP983135 UOL983128:UOL983135 UYH983128:UYH983135 VID983128:VID983135 VRZ983128:VRZ983135 WBV983128:WBV983135 WLR983128:WLR983135 WVN983128:WVN983135 F87 JB87 SX87 ACT87 AMP87 AWL87 BGH87 BQD87 BZZ87 CJV87 CTR87 DDN87 DNJ87 DXF87 EHB87 EQX87 FAT87 FKP87 FUL87 GEH87 GOD87 GXZ87 HHV87 HRR87 IBN87 ILJ87 IVF87 JFB87 JOX87 JYT87 KIP87 KSL87 LCH87 LMD87 LVZ87 MFV87 MPR87 MZN87 NJJ87 NTF87 ODB87 OMX87 OWT87 PGP87 PQL87 QAH87 QKD87 QTZ87 RDV87 RNR87 RXN87 SHJ87 SRF87 TBB87 TKX87 TUT87 UEP87 UOL87 UYH87 VID87 VRZ87 WBV87 WLR87 WVN87 F65622 JB65622 SX65622 ACT65622 AMP65622 AWL65622 BGH65622 BQD65622 BZZ65622 CJV65622 CTR65622 DDN65622 DNJ65622 DXF65622 EHB65622 EQX65622 FAT65622 FKP65622 FUL65622 GEH65622 GOD65622 GXZ65622 HHV65622 HRR65622 IBN65622 ILJ65622 IVF65622 JFB65622 JOX65622 JYT65622 KIP65622 KSL65622 LCH65622 LMD65622 LVZ65622 MFV65622 MPR65622 MZN65622 NJJ65622 NTF65622 ODB65622 OMX65622 OWT65622 PGP65622 PQL65622 QAH65622 QKD65622 QTZ65622 RDV65622 RNR65622 RXN65622 SHJ65622 SRF65622 TBB65622 TKX65622 TUT65622 UEP65622 UOL65622 UYH65622 VID65622 VRZ65622 WBV65622 WLR65622 WVN65622 F131158 JB131158 SX131158 ACT131158 AMP131158 AWL131158 BGH131158 BQD131158 BZZ131158 CJV131158 CTR131158 DDN131158 DNJ131158 DXF131158 EHB131158 EQX131158 FAT131158 FKP131158 FUL131158 GEH131158 GOD131158 GXZ131158 HHV131158 HRR131158 IBN131158 ILJ131158 IVF131158 JFB131158 JOX131158 JYT131158 KIP131158 KSL131158 LCH131158 LMD131158 LVZ131158 MFV131158 MPR131158 MZN131158 NJJ131158 NTF131158 ODB131158 OMX131158 OWT131158 PGP131158 PQL131158 QAH131158 QKD131158 QTZ131158 RDV131158 RNR131158 RXN131158 SHJ131158 SRF131158 TBB131158 TKX131158 TUT131158 UEP131158 UOL131158 UYH131158 VID131158 VRZ131158 WBV131158 WLR131158 WVN131158 F196694 JB196694 SX196694 ACT196694 AMP196694 AWL196694 BGH196694 BQD196694 BZZ196694 CJV196694 CTR196694 DDN196694 DNJ196694 DXF196694 EHB196694 EQX196694 FAT196694 FKP196694 FUL196694 GEH196694 GOD196694 GXZ196694 HHV196694 HRR196694 IBN196694 ILJ196694 IVF196694 JFB196694 JOX196694 JYT196694 KIP196694 KSL196694 LCH196694 LMD196694 LVZ196694 MFV196694 MPR196694 MZN196694 NJJ196694 NTF196694 ODB196694 OMX196694 OWT196694 PGP196694 PQL196694 QAH196694 QKD196694 QTZ196694 RDV196694 RNR196694 RXN196694 SHJ196694 SRF196694 TBB196694 TKX196694 TUT196694 UEP196694 UOL196694 UYH196694 VID196694 VRZ196694 WBV196694 WLR196694 WVN196694 F262230 JB262230 SX262230 ACT262230 AMP262230 AWL262230 BGH262230 BQD262230 BZZ262230 CJV262230 CTR262230 DDN262230 DNJ262230 DXF262230 EHB262230 EQX262230 FAT262230 FKP262230 FUL262230 GEH262230 GOD262230 GXZ262230 HHV262230 HRR262230 IBN262230 ILJ262230 IVF262230 JFB262230 JOX262230 JYT262230 KIP262230 KSL262230 LCH262230 LMD262230 LVZ262230 MFV262230 MPR262230 MZN262230 NJJ262230 NTF262230 ODB262230 OMX262230 OWT262230 PGP262230 PQL262230 QAH262230 QKD262230 QTZ262230 RDV262230 RNR262230 RXN262230 SHJ262230 SRF262230 TBB262230 TKX262230 TUT262230 UEP262230 UOL262230 UYH262230 VID262230 VRZ262230 WBV262230 WLR262230 WVN262230 F327766 JB327766 SX327766 ACT327766 AMP327766 AWL327766 BGH327766 BQD327766 BZZ327766 CJV327766 CTR327766 DDN327766 DNJ327766 DXF327766 EHB327766 EQX327766 FAT327766 FKP327766 FUL327766 GEH327766 GOD327766 GXZ327766 HHV327766 HRR327766 IBN327766 ILJ327766 IVF327766 JFB327766 JOX327766 JYT327766 KIP327766 KSL327766 LCH327766 LMD327766 LVZ327766 MFV327766 MPR327766 MZN327766 NJJ327766 NTF327766 ODB327766 OMX327766 OWT327766 PGP327766 PQL327766 QAH327766 QKD327766 QTZ327766 RDV327766 RNR327766 RXN327766 SHJ327766 SRF327766 TBB327766 TKX327766 TUT327766 UEP327766 UOL327766 UYH327766 VID327766 VRZ327766 WBV327766 WLR327766 WVN327766 F393302 JB393302 SX393302 ACT393302 AMP393302 AWL393302 BGH393302 BQD393302 BZZ393302 CJV393302 CTR393302 DDN393302 DNJ393302 DXF393302 EHB393302 EQX393302 FAT393302 FKP393302 FUL393302 GEH393302 GOD393302 GXZ393302 HHV393302 HRR393302 IBN393302 ILJ393302 IVF393302 JFB393302 JOX393302 JYT393302 KIP393302 KSL393302 LCH393302 LMD393302 LVZ393302 MFV393302 MPR393302 MZN393302 NJJ393302 NTF393302 ODB393302 OMX393302 OWT393302 PGP393302 PQL393302 QAH393302 QKD393302 QTZ393302 RDV393302 RNR393302 RXN393302 SHJ393302 SRF393302 TBB393302 TKX393302 TUT393302 UEP393302 UOL393302 UYH393302 VID393302 VRZ393302 WBV393302 WLR393302 WVN393302 F458838 JB458838 SX458838 ACT458838 AMP458838 AWL458838 BGH458838 BQD458838 BZZ458838 CJV458838 CTR458838 DDN458838 DNJ458838 DXF458838 EHB458838 EQX458838 FAT458838 FKP458838 FUL458838 GEH458838 GOD458838 GXZ458838 HHV458838 HRR458838 IBN458838 ILJ458838 IVF458838 JFB458838 JOX458838 JYT458838 KIP458838 KSL458838 LCH458838 LMD458838 LVZ458838 MFV458838 MPR458838 MZN458838 NJJ458838 NTF458838 ODB458838 OMX458838 OWT458838 PGP458838 PQL458838 QAH458838 QKD458838 QTZ458838 RDV458838 RNR458838 RXN458838 SHJ458838 SRF458838 TBB458838 TKX458838 TUT458838 UEP458838 UOL458838 UYH458838 VID458838 VRZ458838 WBV458838 WLR458838 WVN458838 F524374 JB524374 SX524374 ACT524374 AMP524374 AWL524374 BGH524374 BQD524374 BZZ524374 CJV524374 CTR524374 DDN524374 DNJ524374 DXF524374 EHB524374 EQX524374 FAT524374 FKP524374 FUL524374 GEH524374 GOD524374 GXZ524374 HHV524374 HRR524374 IBN524374 ILJ524374 IVF524374 JFB524374 JOX524374 JYT524374 KIP524374 KSL524374 LCH524374 LMD524374 LVZ524374 MFV524374 MPR524374 MZN524374 NJJ524374 NTF524374 ODB524374 OMX524374 OWT524374 PGP524374 PQL524374 QAH524374 QKD524374 QTZ524374 RDV524374 RNR524374 RXN524374 SHJ524374 SRF524374 TBB524374 TKX524374 TUT524374 UEP524374 UOL524374 UYH524374 VID524374 VRZ524374 WBV524374 WLR524374 WVN524374 F589910 JB589910 SX589910 ACT589910 AMP589910 AWL589910 BGH589910 BQD589910 BZZ589910 CJV589910 CTR589910 DDN589910 DNJ589910 DXF589910 EHB589910 EQX589910 FAT589910 FKP589910 FUL589910 GEH589910 GOD589910 GXZ589910 HHV589910 HRR589910 IBN589910 ILJ589910 IVF589910 JFB589910 JOX589910 JYT589910 KIP589910 KSL589910 LCH589910 LMD589910 LVZ589910 MFV589910 MPR589910 MZN589910 NJJ589910 NTF589910 ODB589910 OMX589910 OWT589910 PGP589910 PQL589910 QAH589910 QKD589910 QTZ589910 RDV589910 RNR589910 RXN589910 SHJ589910 SRF589910 TBB589910 TKX589910 TUT589910 UEP589910 UOL589910 UYH589910 VID589910 VRZ589910 WBV589910 WLR589910 WVN589910 F655446 JB655446 SX655446 ACT655446 AMP655446 AWL655446 BGH655446 BQD655446 BZZ655446 CJV655446 CTR655446 DDN655446 DNJ655446 DXF655446 EHB655446 EQX655446 FAT655446 FKP655446 FUL655446 GEH655446 GOD655446 GXZ655446 HHV655446 HRR655446 IBN655446 ILJ655446 IVF655446 JFB655446 JOX655446 JYT655446 KIP655446 KSL655446 LCH655446 LMD655446 LVZ655446 MFV655446 MPR655446 MZN655446 NJJ655446 NTF655446 ODB655446 OMX655446 OWT655446 PGP655446 PQL655446 QAH655446 QKD655446 QTZ655446 RDV655446 RNR655446 RXN655446 SHJ655446 SRF655446 TBB655446 TKX655446 TUT655446 UEP655446 UOL655446 UYH655446 VID655446 VRZ655446 WBV655446 WLR655446 WVN655446 F720982 JB720982 SX720982 ACT720982 AMP720982 AWL720982 BGH720982 BQD720982 BZZ720982 CJV720982 CTR720982 DDN720982 DNJ720982 DXF720982 EHB720982 EQX720982 FAT720982 FKP720982 FUL720982 GEH720982 GOD720982 GXZ720982 HHV720982 HRR720982 IBN720982 ILJ720982 IVF720982 JFB720982 JOX720982 JYT720982 KIP720982 KSL720982 LCH720982 LMD720982 LVZ720982 MFV720982 MPR720982 MZN720982 NJJ720982 NTF720982 ODB720982 OMX720982 OWT720982 PGP720982 PQL720982 QAH720982 QKD720982 QTZ720982 RDV720982 RNR720982 RXN720982 SHJ720982 SRF720982 TBB720982 TKX720982 TUT720982 UEP720982 UOL720982 UYH720982 VID720982 VRZ720982 WBV720982 WLR720982 WVN720982 F786518 JB786518 SX786518 ACT786518 AMP786518 AWL786518 BGH786518 BQD786518 BZZ786518 CJV786518 CTR786518 DDN786518 DNJ786518 DXF786518 EHB786518 EQX786518 FAT786518 FKP786518 FUL786518 GEH786518 GOD786518 GXZ786518 HHV786518 HRR786518 IBN786518 ILJ786518 IVF786518 JFB786518 JOX786518 JYT786518 KIP786518 KSL786518 LCH786518 LMD786518 LVZ786518 MFV786518 MPR786518 MZN786518 NJJ786518 NTF786518 ODB786518 OMX786518 OWT786518 PGP786518 PQL786518 QAH786518 QKD786518 QTZ786518 RDV786518 RNR786518 RXN786518 SHJ786518 SRF786518 TBB786518 TKX786518 TUT786518 UEP786518 UOL786518 UYH786518 VID786518 VRZ786518 WBV786518 WLR786518 WVN786518 F852054 JB852054 SX852054 ACT852054 AMP852054 AWL852054 BGH852054 BQD852054 BZZ852054 CJV852054 CTR852054 DDN852054 DNJ852054 DXF852054 EHB852054 EQX852054 FAT852054 FKP852054 FUL852054 GEH852054 GOD852054 GXZ852054 HHV852054 HRR852054 IBN852054 ILJ852054 IVF852054 JFB852054 JOX852054 JYT852054 KIP852054 KSL852054 LCH852054 LMD852054 LVZ852054 MFV852054 MPR852054 MZN852054 NJJ852054 NTF852054 ODB852054 OMX852054 OWT852054 PGP852054 PQL852054 QAH852054 QKD852054 QTZ852054 RDV852054 RNR852054 RXN852054 SHJ852054 SRF852054 TBB852054 TKX852054 TUT852054 UEP852054 UOL852054 UYH852054 VID852054 VRZ852054 WBV852054 WLR852054 WVN852054 F917590 JB917590 SX917590 ACT917590 AMP917590 AWL917590 BGH917590 BQD917590 BZZ917590 CJV917590 CTR917590 DDN917590 DNJ917590 DXF917590 EHB917590 EQX917590 FAT917590 FKP917590 FUL917590 GEH917590 GOD917590 GXZ917590 HHV917590 HRR917590 IBN917590 ILJ917590 IVF917590 JFB917590 JOX917590 JYT917590 KIP917590 KSL917590 LCH917590 LMD917590 LVZ917590 MFV917590 MPR917590 MZN917590 NJJ917590 NTF917590 ODB917590 OMX917590 OWT917590 PGP917590 PQL917590 QAH917590 QKD917590 QTZ917590 RDV917590 RNR917590 RXN917590 SHJ917590 SRF917590 TBB917590 TKX917590 TUT917590 UEP917590 UOL917590 UYH917590 VID917590 VRZ917590 WBV917590 WLR917590 WVN917590 F983126 JB983126 SX983126 ACT983126 AMP983126 AWL983126 BGH983126 BQD983126 BZZ983126 CJV983126 CTR983126 DDN983126 DNJ983126 DXF983126 EHB983126 EQX983126 FAT983126 FKP983126 FUL983126 GEH983126 GOD983126 GXZ983126 HHV983126 HRR983126 IBN983126 ILJ983126 IVF983126 JFB983126 JOX983126 JYT983126 KIP983126 KSL983126 LCH983126 LMD983126 LVZ983126 MFV983126 MPR983126 MZN983126 NJJ983126 NTF983126 ODB983126 OMX983126 OWT983126 PGP983126 PQL983126 QAH983126 QKD983126 QTZ983126 RDV983126 RNR983126 RXN983126 SHJ983126 SRF983126 TBB983126 TKX983126 TUT983126 UEP983126 UOL983126 UYH983126 VID983126 VRZ983126 WBV983126 WLR983126 WVN983126 J41:J86 JF41:JF86 TB41:TB86 ACX41:ACX86 AMT41:AMT86 AWP41:AWP86 BGL41:BGL86 BQH41:BQH86 CAD41:CAD86 CJZ41:CJZ86 CTV41:CTV86 DDR41:DDR86 DNN41:DNN86 DXJ41:DXJ86 EHF41:EHF86 ERB41:ERB86 FAX41:FAX86 FKT41:FKT86 FUP41:FUP86 GEL41:GEL86 GOH41:GOH86 GYD41:GYD86 HHZ41:HHZ86 HRV41:HRV86 IBR41:IBR86 ILN41:ILN86 IVJ41:IVJ86 JFF41:JFF86 JPB41:JPB86 JYX41:JYX86 KIT41:KIT86 KSP41:KSP86 LCL41:LCL86 LMH41:LMH86 LWD41:LWD86 MFZ41:MFZ86 MPV41:MPV86 MZR41:MZR86 NJN41:NJN86 NTJ41:NTJ86 ODF41:ODF86 ONB41:ONB86 OWX41:OWX86 PGT41:PGT86 PQP41:PQP86 QAL41:QAL86 QKH41:QKH86 QUD41:QUD86 RDZ41:RDZ86 RNV41:RNV86 RXR41:RXR86 SHN41:SHN86 SRJ41:SRJ86 TBF41:TBF86 TLB41:TLB86 TUX41:TUX86 UET41:UET86 UOP41:UOP86 UYL41:UYL86 VIH41:VIH86 VSD41:VSD86 WBZ41:WBZ86 WLV41:WLV86 WVR41:WVR86 J65577:J65621 JF65577:JF65621 TB65577:TB65621 ACX65577:ACX65621 AMT65577:AMT65621 AWP65577:AWP65621 BGL65577:BGL65621 BQH65577:BQH65621 CAD65577:CAD65621 CJZ65577:CJZ65621 CTV65577:CTV65621 DDR65577:DDR65621 DNN65577:DNN65621 DXJ65577:DXJ65621 EHF65577:EHF65621 ERB65577:ERB65621 FAX65577:FAX65621 FKT65577:FKT65621 FUP65577:FUP65621 GEL65577:GEL65621 GOH65577:GOH65621 GYD65577:GYD65621 HHZ65577:HHZ65621 HRV65577:HRV65621 IBR65577:IBR65621 ILN65577:ILN65621 IVJ65577:IVJ65621 JFF65577:JFF65621 JPB65577:JPB65621 JYX65577:JYX65621 KIT65577:KIT65621 KSP65577:KSP65621 LCL65577:LCL65621 LMH65577:LMH65621 LWD65577:LWD65621 MFZ65577:MFZ65621 MPV65577:MPV65621 MZR65577:MZR65621 NJN65577:NJN65621 NTJ65577:NTJ65621 ODF65577:ODF65621 ONB65577:ONB65621 OWX65577:OWX65621 PGT65577:PGT65621 PQP65577:PQP65621 QAL65577:QAL65621 QKH65577:QKH65621 QUD65577:QUD65621 RDZ65577:RDZ65621 RNV65577:RNV65621 RXR65577:RXR65621 SHN65577:SHN65621 SRJ65577:SRJ65621 TBF65577:TBF65621 TLB65577:TLB65621 TUX65577:TUX65621 UET65577:UET65621 UOP65577:UOP65621 UYL65577:UYL65621 VIH65577:VIH65621 VSD65577:VSD65621 WBZ65577:WBZ65621 WLV65577:WLV65621 WVR65577:WVR65621 J131113:J131157 JF131113:JF131157 TB131113:TB131157 ACX131113:ACX131157 AMT131113:AMT131157 AWP131113:AWP131157 BGL131113:BGL131157 BQH131113:BQH131157 CAD131113:CAD131157 CJZ131113:CJZ131157 CTV131113:CTV131157 DDR131113:DDR131157 DNN131113:DNN131157 DXJ131113:DXJ131157 EHF131113:EHF131157 ERB131113:ERB131157 FAX131113:FAX131157 FKT131113:FKT131157 FUP131113:FUP131157 GEL131113:GEL131157 GOH131113:GOH131157 GYD131113:GYD131157 HHZ131113:HHZ131157 HRV131113:HRV131157 IBR131113:IBR131157 ILN131113:ILN131157 IVJ131113:IVJ131157 JFF131113:JFF131157 JPB131113:JPB131157 JYX131113:JYX131157 KIT131113:KIT131157 KSP131113:KSP131157 LCL131113:LCL131157 LMH131113:LMH131157 LWD131113:LWD131157 MFZ131113:MFZ131157 MPV131113:MPV131157 MZR131113:MZR131157 NJN131113:NJN131157 NTJ131113:NTJ131157 ODF131113:ODF131157 ONB131113:ONB131157 OWX131113:OWX131157 PGT131113:PGT131157 PQP131113:PQP131157 QAL131113:QAL131157 QKH131113:QKH131157 QUD131113:QUD131157 RDZ131113:RDZ131157 RNV131113:RNV131157 RXR131113:RXR131157 SHN131113:SHN131157 SRJ131113:SRJ131157 TBF131113:TBF131157 TLB131113:TLB131157 TUX131113:TUX131157 UET131113:UET131157 UOP131113:UOP131157 UYL131113:UYL131157 VIH131113:VIH131157 VSD131113:VSD131157 WBZ131113:WBZ131157 WLV131113:WLV131157 WVR131113:WVR131157 J196649:J196693 JF196649:JF196693 TB196649:TB196693 ACX196649:ACX196693 AMT196649:AMT196693 AWP196649:AWP196693 BGL196649:BGL196693 BQH196649:BQH196693 CAD196649:CAD196693 CJZ196649:CJZ196693 CTV196649:CTV196693 DDR196649:DDR196693 DNN196649:DNN196693 DXJ196649:DXJ196693 EHF196649:EHF196693 ERB196649:ERB196693 FAX196649:FAX196693 FKT196649:FKT196693 FUP196649:FUP196693 GEL196649:GEL196693 GOH196649:GOH196693 GYD196649:GYD196693 HHZ196649:HHZ196693 HRV196649:HRV196693 IBR196649:IBR196693 ILN196649:ILN196693 IVJ196649:IVJ196693 JFF196649:JFF196693 JPB196649:JPB196693 JYX196649:JYX196693 KIT196649:KIT196693 KSP196649:KSP196693 LCL196649:LCL196693 LMH196649:LMH196693 LWD196649:LWD196693 MFZ196649:MFZ196693 MPV196649:MPV196693 MZR196649:MZR196693 NJN196649:NJN196693 NTJ196649:NTJ196693 ODF196649:ODF196693 ONB196649:ONB196693 OWX196649:OWX196693 PGT196649:PGT196693 PQP196649:PQP196693 QAL196649:QAL196693 QKH196649:QKH196693 QUD196649:QUD196693 RDZ196649:RDZ196693 RNV196649:RNV196693 RXR196649:RXR196693 SHN196649:SHN196693 SRJ196649:SRJ196693 TBF196649:TBF196693 TLB196649:TLB196693 TUX196649:TUX196693 UET196649:UET196693 UOP196649:UOP196693 UYL196649:UYL196693 VIH196649:VIH196693 VSD196649:VSD196693 WBZ196649:WBZ196693 WLV196649:WLV196693 WVR196649:WVR196693 J262185:J262229 JF262185:JF262229 TB262185:TB262229 ACX262185:ACX262229 AMT262185:AMT262229 AWP262185:AWP262229 BGL262185:BGL262229 BQH262185:BQH262229 CAD262185:CAD262229 CJZ262185:CJZ262229 CTV262185:CTV262229 DDR262185:DDR262229 DNN262185:DNN262229 DXJ262185:DXJ262229 EHF262185:EHF262229 ERB262185:ERB262229 FAX262185:FAX262229 FKT262185:FKT262229 FUP262185:FUP262229 GEL262185:GEL262229 GOH262185:GOH262229 GYD262185:GYD262229 HHZ262185:HHZ262229 HRV262185:HRV262229 IBR262185:IBR262229 ILN262185:ILN262229 IVJ262185:IVJ262229 JFF262185:JFF262229 JPB262185:JPB262229 JYX262185:JYX262229 KIT262185:KIT262229 KSP262185:KSP262229 LCL262185:LCL262229 LMH262185:LMH262229 LWD262185:LWD262229 MFZ262185:MFZ262229 MPV262185:MPV262229 MZR262185:MZR262229 NJN262185:NJN262229 NTJ262185:NTJ262229 ODF262185:ODF262229 ONB262185:ONB262229 OWX262185:OWX262229 PGT262185:PGT262229 PQP262185:PQP262229 QAL262185:QAL262229 QKH262185:QKH262229 QUD262185:QUD262229 RDZ262185:RDZ262229 RNV262185:RNV262229 RXR262185:RXR262229 SHN262185:SHN262229 SRJ262185:SRJ262229 TBF262185:TBF262229 TLB262185:TLB262229 TUX262185:TUX262229 UET262185:UET262229 UOP262185:UOP262229 UYL262185:UYL262229 VIH262185:VIH262229 VSD262185:VSD262229 WBZ262185:WBZ262229 WLV262185:WLV262229 WVR262185:WVR262229 J327721:J327765 JF327721:JF327765 TB327721:TB327765 ACX327721:ACX327765 AMT327721:AMT327765 AWP327721:AWP327765 BGL327721:BGL327765 BQH327721:BQH327765 CAD327721:CAD327765 CJZ327721:CJZ327765 CTV327721:CTV327765 DDR327721:DDR327765 DNN327721:DNN327765 DXJ327721:DXJ327765 EHF327721:EHF327765 ERB327721:ERB327765 FAX327721:FAX327765 FKT327721:FKT327765 FUP327721:FUP327765 GEL327721:GEL327765 GOH327721:GOH327765 GYD327721:GYD327765 HHZ327721:HHZ327765 HRV327721:HRV327765 IBR327721:IBR327765 ILN327721:ILN327765 IVJ327721:IVJ327765 JFF327721:JFF327765 JPB327721:JPB327765 JYX327721:JYX327765 KIT327721:KIT327765 KSP327721:KSP327765 LCL327721:LCL327765 LMH327721:LMH327765 LWD327721:LWD327765 MFZ327721:MFZ327765 MPV327721:MPV327765 MZR327721:MZR327765 NJN327721:NJN327765 NTJ327721:NTJ327765 ODF327721:ODF327765 ONB327721:ONB327765 OWX327721:OWX327765 PGT327721:PGT327765 PQP327721:PQP327765 QAL327721:QAL327765 QKH327721:QKH327765 QUD327721:QUD327765 RDZ327721:RDZ327765 RNV327721:RNV327765 RXR327721:RXR327765 SHN327721:SHN327765 SRJ327721:SRJ327765 TBF327721:TBF327765 TLB327721:TLB327765 TUX327721:TUX327765 UET327721:UET327765 UOP327721:UOP327765 UYL327721:UYL327765 VIH327721:VIH327765 VSD327721:VSD327765 WBZ327721:WBZ327765 WLV327721:WLV327765 WVR327721:WVR327765 J393257:J393301 JF393257:JF393301 TB393257:TB393301 ACX393257:ACX393301 AMT393257:AMT393301 AWP393257:AWP393301 BGL393257:BGL393301 BQH393257:BQH393301 CAD393257:CAD393301 CJZ393257:CJZ393301 CTV393257:CTV393301 DDR393257:DDR393301 DNN393257:DNN393301 DXJ393257:DXJ393301 EHF393257:EHF393301 ERB393257:ERB393301 FAX393257:FAX393301 FKT393257:FKT393301 FUP393257:FUP393301 GEL393257:GEL393301 GOH393257:GOH393301 GYD393257:GYD393301 HHZ393257:HHZ393301 HRV393257:HRV393301 IBR393257:IBR393301 ILN393257:ILN393301 IVJ393257:IVJ393301 JFF393257:JFF393301 JPB393257:JPB393301 JYX393257:JYX393301 KIT393257:KIT393301 KSP393257:KSP393301 LCL393257:LCL393301 LMH393257:LMH393301 LWD393257:LWD393301 MFZ393257:MFZ393301 MPV393257:MPV393301 MZR393257:MZR393301 NJN393257:NJN393301 NTJ393257:NTJ393301 ODF393257:ODF393301 ONB393257:ONB393301 OWX393257:OWX393301 PGT393257:PGT393301 PQP393257:PQP393301 QAL393257:QAL393301 QKH393257:QKH393301 QUD393257:QUD393301 RDZ393257:RDZ393301 RNV393257:RNV393301 RXR393257:RXR393301 SHN393257:SHN393301 SRJ393257:SRJ393301 TBF393257:TBF393301 TLB393257:TLB393301 TUX393257:TUX393301 UET393257:UET393301 UOP393257:UOP393301 UYL393257:UYL393301 VIH393257:VIH393301 VSD393257:VSD393301 WBZ393257:WBZ393301 WLV393257:WLV393301 WVR393257:WVR393301 J458793:J458837 JF458793:JF458837 TB458793:TB458837 ACX458793:ACX458837 AMT458793:AMT458837 AWP458793:AWP458837 BGL458793:BGL458837 BQH458793:BQH458837 CAD458793:CAD458837 CJZ458793:CJZ458837 CTV458793:CTV458837 DDR458793:DDR458837 DNN458793:DNN458837 DXJ458793:DXJ458837 EHF458793:EHF458837 ERB458793:ERB458837 FAX458793:FAX458837 FKT458793:FKT458837 FUP458793:FUP458837 GEL458793:GEL458837 GOH458793:GOH458837 GYD458793:GYD458837 HHZ458793:HHZ458837 HRV458793:HRV458837 IBR458793:IBR458837 ILN458793:ILN458837 IVJ458793:IVJ458837 JFF458793:JFF458837 JPB458793:JPB458837 JYX458793:JYX458837 KIT458793:KIT458837 KSP458793:KSP458837 LCL458793:LCL458837 LMH458793:LMH458837 LWD458793:LWD458837 MFZ458793:MFZ458837 MPV458793:MPV458837 MZR458793:MZR458837 NJN458793:NJN458837 NTJ458793:NTJ458837 ODF458793:ODF458837 ONB458793:ONB458837 OWX458793:OWX458837 PGT458793:PGT458837 PQP458793:PQP458837 QAL458793:QAL458837 QKH458793:QKH458837 QUD458793:QUD458837 RDZ458793:RDZ458837 RNV458793:RNV458837 RXR458793:RXR458837 SHN458793:SHN458837 SRJ458793:SRJ458837 TBF458793:TBF458837 TLB458793:TLB458837 TUX458793:TUX458837 UET458793:UET458837 UOP458793:UOP458837 UYL458793:UYL458837 VIH458793:VIH458837 VSD458793:VSD458837 WBZ458793:WBZ458837 WLV458793:WLV458837 WVR458793:WVR458837 J524329:J524373 JF524329:JF524373 TB524329:TB524373 ACX524329:ACX524373 AMT524329:AMT524373 AWP524329:AWP524373 BGL524329:BGL524373 BQH524329:BQH524373 CAD524329:CAD524373 CJZ524329:CJZ524373 CTV524329:CTV524373 DDR524329:DDR524373 DNN524329:DNN524373 DXJ524329:DXJ524373 EHF524329:EHF524373 ERB524329:ERB524373 FAX524329:FAX524373 FKT524329:FKT524373 FUP524329:FUP524373 GEL524329:GEL524373 GOH524329:GOH524373 GYD524329:GYD524373 HHZ524329:HHZ524373 HRV524329:HRV524373 IBR524329:IBR524373 ILN524329:ILN524373 IVJ524329:IVJ524373 JFF524329:JFF524373 JPB524329:JPB524373 JYX524329:JYX524373 KIT524329:KIT524373 KSP524329:KSP524373 LCL524329:LCL524373 LMH524329:LMH524373 LWD524329:LWD524373 MFZ524329:MFZ524373 MPV524329:MPV524373 MZR524329:MZR524373 NJN524329:NJN524373 NTJ524329:NTJ524373 ODF524329:ODF524373 ONB524329:ONB524373 OWX524329:OWX524373 PGT524329:PGT524373 PQP524329:PQP524373 QAL524329:QAL524373 QKH524329:QKH524373 QUD524329:QUD524373 RDZ524329:RDZ524373 RNV524329:RNV524373 RXR524329:RXR524373 SHN524329:SHN524373 SRJ524329:SRJ524373 TBF524329:TBF524373 TLB524329:TLB524373 TUX524329:TUX524373 UET524329:UET524373 UOP524329:UOP524373 UYL524329:UYL524373 VIH524329:VIH524373 VSD524329:VSD524373 WBZ524329:WBZ524373 WLV524329:WLV524373 WVR524329:WVR524373 J589865:J589909 JF589865:JF589909 TB589865:TB589909 ACX589865:ACX589909 AMT589865:AMT589909 AWP589865:AWP589909 BGL589865:BGL589909 BQH589865:BQH589909 CAD589865:CAD589909 CJZ589865:CJZ589909 CTV589865:CTV589909 DDR589865:DDR589909 DNN589865:DNN589909 DXJ589865:DXJ589909 EHF589865:EHF589909 ERB589865:ERB589909 FAX589865:FAX589909 FKT589865:FKT589909 FUP589865:FUP589909 GEL589865:GEL589909 GOH589865:GOH589909 GYD589865:GYD589909 HHZ589865:HHZ589909 HRV589865:HRV589909 IBR589865:IBR589909 ILN589865:ILN589909 IVJ589865:IVJ589909 JFF589865:JFF589909 JPB589865:JPB589909 JYX589865:JYX589909 KIT589865:KIT589909 KSP589865:KSP589909 LCL589865:LCL589909 LMH589865:LMH589909 LWD589865:LWD589909 MFZ589865:MFZ589909 MPV589865:MPV589909 MZR589865:MZR589909 NJN589865:NJN589909 NTJ589865:NTJ589909 ODF589865:ODF589909 ONB589865:ONB589909 OWX589865:OWX589909 PGT589865:PGT589909 PQP589865:PQP589909 QAL589865:QAL589909 QKH589865:QKH589909 QUD589865:QUD589909 RDZ589865:RDZ589909 RNV589865:RNV589909 RXR589865:RXR589909 SHN589865:SHN589909 SRJ589865:SRJ589909 TBF589865:TBF589909 TLB589865:TLB589909 TUX589865:TUX589909 UET589865:UET589909 UOP589865:UOP589909 UYL589865:UYL589909 VIH589865:VIH589909 VSD589865:VSD589909 WBZ589865:WBZ589909 WLV589865:WLV589909 WVR589865:WVR589909 J655401:J655445 JF655401:JF655445 TB655401:TB655445 ACX655401:ACX655445 AMT655401:AMT655445 AWP655401:AWP655445 BGL655401:BGL655445 BQH655401:BQH655445 CAD655401:CAD655445 CJZ655401:CJZ655445 CTV655401:CTV655445 DDR655401:DDR655445 DNN655401:DNN655445 DXJ655401:DXJ655445 EHF655401:EHF655445 ERB655401:ERB655445 FAX655401:FAX655445 FKT655401:FKT655445 FUP655401:FUP655445 GEL655401:GEL655445 GOH655401:GOH655445 GYD655401:GYD655445 HHZ655401:HHZ655445 HRV655401:HRV655445 IBR655401:IBR655445 ILN655401:ILN655445 IVJ655401:IVJ655445 JFF655401:JFF655445 JPB655401:JPB655445 JYX655401:JYX655445 KIT655401:KIT655445 KSP655401:KSP655445 LCL655401:LCL655445 LMH655401:LMH655445 LWD655401:LWD655445 MFZ655401:MFZ655445 MPV655401:MPV655445 MZR655401:MZR655445 NJN655401:NJN655445 NTJ655401:NTJ655445 ODF655401:ODF655445 ONB655401:ONB655445 OWX655401:OWX655445 PGT655401:PGT655445 PQP655401:PQP655445 QAL655401:QAL655445 QKH655401:QKH655445 QUD655401:QUD655445 RDZ655401:RDZ655445 RNV655401:RNV655445 RXR655401:RXR655445 SHN655401:SHN655445 SRJ655401:SRJ655445 TBF655401:TBF655445 TLB655401:TLB655445 TUX655401:TUX655445 UET655401:UET655445 UOP655401:UOP655445 UYL655401:UYL655445 VIH655401:VIH655445 VSD655401:VSD655445 WBZ655401:WBZ655445 WLV655401:WLV655445 WVR655401:WVR655445 J720937:J720981 JF720937:JF720981 TB720937:TB720981 ACX720937:ACX720981 AMT720937:AMT720981 AWP720937:AWP720981 BGL720937:BGL720981 BQH720937:BQH720981 CAD720937:CAD720981 CJZ720937:CJZ720981 CTV720937:CTV720981 DDR720937:DDR720981 DNN720937:DNN720981 DXJ720937:DXJ720981 EHF720937:EHF720981 ERB720937:ERB720981 FAX720937:FAX720981 FKT720937:FKT720981 FUP720937:FUP720981 GEL720937:GEL720981 GOH720937:GOH720981 GYD720937:GYD720981 HHZ720937:HHZ720981 HRV720937:HRV720981 IBR720937:IBR720981 ILN720937:ILN720981 IVJ720937:IVJ720981 JFF720937:JFF720981 JPB720937:JPB720981 JYX720937:JYX720981 KIT720937:KIT720981 KSP720937:KSP720981 LCL720937:LCL720981 LMH720937:LMH720981 LWD720937:LWD720981 MFZ720937:MFZ720981 MPV720937:MPV720981 MZR720937:MZR720981 NJN720937:NJN720981 NTJ720937:NTJ720981 ODF720937:ODF720981 ONB720937:ONB720981 OWX720937:OWX720981 PGT720937:PGT720981 PQP720937:PQP720981 QAL720937:QAL720981 QKH720937:QKH720981 QUD720937:QUD720981 RDZ720937:RDZ720981 RNV720937:RNV720981 RXR720937:RXR720981 SHN720937:SHN720981 SRJ720937:SRJ720981 TBF720937:TBF720981 TLB720937:TLB720981 TUX720937:TUX720981 UET720937:UET720981 UOP720937:UOP720981 UYL720937:UYL720981 VIH720937:VIH720981 VSD720937:VSD720981 WBZ720937:WBZ720981 WLV720937:WLV720981 WVR720937:WVR720981 J786473:J786517 JF786473:JF786517 TB786473:TB786517 ACX786473:ACX786517 AMT786473:AMT786517 AWP786473:AWP786517 BGL786473:BGL786517 BQH786473:BQH786517 CAD786473:CAD786517 CJZ786473:CJZ786517 CTV786473:CTV786517 DDR786473:DDR786517 DNN786473:DNN786517 DXJ786473:DXJ786517 EHF786473:EHF786517 ERB786473:ERB786517 FAX786473:FAX786517 FKT786473:FKT786517 FUP786473:FUP786517 GEL786473:GEL786517 GOH786473:GOH786517 GYD786473:GYD786517 HHZ786473:HHZ786517 HRV786473:HRV786517 IBR786473:IBR786517 ILN786473:ILN786517 IVJ786473:IVJ786517 JFF786473:JFF786517 JPB786473:JPB786517 JYX786473:JYX786517 KIT786473:KIT786517 KSP786473:KSP786517 LCL786473:LCL786517 LMH786473:LMH786517 LWD786473:LWD786517 MFZ786473:MFZ786517 MPV786473:MPV786517 MZR786473:MZR786517 NJN786473:NJN786517 NTJ786473:NTJ786517 ODF786473:ODF786517 ONB786473:ONB786517 OWX786473:OWX786517 PGT786473:PGT786517 PQP786473:PQP786517 QAL786473:QAL786517 QKH786473:QKH786517 QUD786473:QUD786517 RDZ786473:RDZ786517 RNV786473:RNV786517 RXR786473:RXR786517 SHN786473:SHN786517 SRJ786473:SRJ786517 TBF786473:TBF786517 TLB786473:TLB786517 TUX786473:TUX786517 UET786473:UET786517 UOP786473:UOP786517 UYL786473:UYL786517 VIH786473:VIH786517 VSD786473:VSD786517 WBZ786473:WBZ786517 WLV786473:WLV786517 WVR786473:WVR786517 J852009:J852053 JF852009:JF852053 TB852009:TB852053 ACX852009:ACX852053 AMT852009:AMT852053 AWP852009:AWP852053 BGL852009:BGL852053 BQH852009:BQH852053 CAD852009:CAD852053 CJZ852009:CJZ852053 CTV852009:CTV852053 DDR852009:DDR852053 DNN852009:DNN852053 DXJ852009:DXJ852053 EHF852009:EHF852053 ERB852009:ERB852053 FAX852009:FAX852053 FKT852009:FKT852053 FUP852009:FUP852053 GEL852009:GEL852053 GOH852009:GOH852053 GYD852009:GYD852053 HHZ852009:HHZ852053 HRV852009:HRV852053 IBR852009:IBR852053 ILN852009:ILN852053 IVJ852009:IVJ852053 JFF852009:JFF852053 JPB852009:JPB852053 JYX852009:JYX852053 KIT852009:KIT852053 KSP852009:KSP852053 LCL852009:LCL852053 LMH852009:LMH852053 LWD852009:LWD852053 MFZ852009:MFZ852053 MPV852009:MPV852053 MZR852009:MZR852053 NJN852009:NJN852053 NTJ852009:NTJ852053 ODF852009:ODF852053 ONB852009:ONB852053 OWX852009:OWX852053 PGT852009:PGT852053 PQP852009:PQP852053 QAL852009:QAL852053 QKH852009:QKH852053 QUD852009:QUD852053 RDZ852009:RDZ852053 RNV852009:RNV852053 RXR852009:RXR852053 SHN852009:SHN852053 SRJ852009:SRJ852053 TBF852009:TBF852053 TLB852009:TLB852053 TUX852009:TUX852053 UET852009:UET852053 UOP852009:UOP852053 UYL852009:UYL852053 VIH852009:VIH852053 VSD852009:VSD852053 WBZ852009:WBZ852053 WLV852009:WLV852053 WVR852009:WVR852053 J917545:J917589 JF917545:JF917589 TB917545:TB917589 ACX917545:ACX917589 AMT917545:AMT917589 AWP917545:AWP917589 BGL917545:BGL917589 BQH917545:BQH917589 CAD917545:CAD917589 CJZ917545:CJZ917589 CTV917545:CTV917589 DDR917545:DDR917589 DNN917545:DNN917589 DXJ917545:DXJ917589 EHF917545:EHF917589 ERB917545:ERB917589 FAX917545:FAX917589 FKT917545:FKT917589 FUP917545:FUP917589 GEL917545:GEL917589 GOH917545:GOH917589 GYD917545:GYD917589 HHZ917545:HHZ917589 HRV917545:HRV917589 IBR917545:IBR917589 ILN917545:ILN917589 IVJ917545:IVJ917589 JFF917545:JFF917589 JPB917545:JPB917589 JYX917545:JYX917589 KIT917545:KIT917589 KSP917545:KSP917589 LCL917545:LCL917589 LMH917545:LMH917589 LWD917545:LWD917589 MFZ917545:MFZ917589 MPV917545:MPV917589 MZR917545:MZR917589 NJN917545:NJN917589 NTJ917545:NTJ917589 ODF917545:ODF917589 ONB917545:ONB917589 OWX917545:OWX917589 PGT917545:PGT917589 PQP917545:PQP917589 QAL917545:QAL917589 QKH917545:QKH917589 QUD917545:QUD917589 RDZ917545:RDZ917589 RNV917545:RNV917589 RXR917545:RXR917589 SHN917545:SHN917589 SRJ917545:SRJ917589 TBF917545:TBF917589 TLB917545:TLB917589 TUX917545:TUX917589 UET917545:UET917589 UOP917545:UOP917589 UYL917545:UYL917589 VIH917545:VIH917589 VSD917545:VSD917589 WBZ917545:WBZ917589 WLV917545:WLV917589 WVR917545:WVR917589 J983081:J983125 JF983081:JF983125 TB983081:TB983125 ACX983081:ACX983125 AMT983081:AMT983125 AWP983081:AWP983125 BGL983081:BGL983125 BQH983081:BQH983125 CAD983081:CAD983125 CJZ983081:CJZ983125 CTV983081:CTV983125 DDR983081:DDR983125 DNN983081:DNN983125 DXJ983081:DXJ983125 EHF983081:EHF983125 ERB983081:ERB983125 FAX983081:FAX983125 FKT983081:FKT983125 FUP983081:FUP983125 GEL983081:GEL983125 GOH983081:GOH983125 GYD983081:GYD983125 HHZ983081:HHZ983125 HRV983081:HRV983125 IBR983081:IBR983125 ILN983081:ILN983125 IVJ983081:IVJ983125 JFF983081:JFF983125 JPB983081:JPB983125 JYX983081:JYX983125 KIT983081:KIT983125 KSP983081:KSP983125 LCL983081:LCL983125 LMH983081:LMH983125 LWD983081:LWD983125 MFZ983081:MFZ983125 MPV983081:MPV983125 MZR983081:MZR983125 NJN983081:NJN983125 NTJ983081:NTJ983125 ODF983081:ODF983125 ONB983081:ONB983125 OWX983081:OWX983125 PGT983081:PGT983125 PQP983081:PQP983125 QAL983081:QAL983125 QKH983081:QKH983125 QUD983081:QUD983125 RDZ983081:RDZ983125 RNV983081:RNV983125 RXR983081:RXR983125 SHN983081:SHN983125 SRJ983081:SRJ983125 TBF983081:TBF983125 TLB983081:TLB983125 TUX983081:TUX983125 UET983081:UET983125 UOP983081:UOP983125 UYL983081:UYL983125 VIH983081:VIH983125 VSD983081:VSD983125 WBZ983081:WBZ983125 WLV983081:WLV983125 WVR983081:WVR983125 J17:J39 JF17:JF39 TB17:TB39 ACX17:ACX39 AMT17:AMT39 AWP17:AWP39 BGL17:BGL39 BQH17:BQH39 CAD17:CAD39 CJZ17:CJZ39 CTV17:CTV39 DDR17:DDR39 DNN17:DNN39 DXJ17:DXJ39 EHF17:EHF39 ERB17:ERB39 FAX17:FAX39 FKT17:FKT39 FUP17:FUP39 GEL17:GEL39 GOH17:GOH39 GYD17:GYD39 HHZ17:HHZ39 HRV17:HRV39 IBR17:IBR39 ILN17:ILN39 IVJ17:IVJ39 JFF17:JFF39 JPB17:JPB39 JYX17:JYX39 KIT17:KIT39 KSP17:KSP39 LCL17:LCL39 LMH17:LMH39 LWD17:LWD39 MFZ17:MFZ39 MPV17:MPV39 MZR17:MZR39 NJN17:NJN39 NTJ17:NTJ39 ODF17:ODF39 ONB17:ONB39 OWX17:OWX39 PGT17:PGT39 PQP17:PQP39 QAL17:QAL39 QKH17:QKH39 QUD17:QUD39 RDZ17:RDZ39 RNV17:RNV39 RXR17:RXR39 SHN17:SHN39 SRJ17:SRJ39 TBF17:TBF39 TLB17:TLB39 TUX17:TUX39 UET17:UET39 UOP17:UOP39 UYL17:UYL39 VIH17:VIH39 VSD17:VSD39 WBZ17:WBZ39 WLV17:WLV39 WVR17:WVR39 J65553:J65575 JF65553:JF65575 TB65553:TB65575 ACX65553:ACX65575 AMT65553:AMT65575 AWP65553:AWP65575 BGL65553:BGL65575 BQH65553:BQH65575 CAD65553:CAD65575 CJZ65553:CJZ65575 CTV65553:CTV65575 DDR65553:DDR65575 DNN65553:DNN65575 DXJ65553:DXJ65575 EHF65553:EHF65575 ERB65553:ERB65575 FAX65553:FAX65575 FKT65553:FKT65575 FUP65553:FUP65575 GEL65553:GEL65575 GOH65553:GOH65575 GYD65553:GYD65575 HHZ65553:HHZ65575 HRV65553:HRV65575 IBR65553:IBR65575 ILN65553:ILN65575 IVJ65553:IVJ65575 JFF65553:JFF65575 JPB65553:JPB65575 JYX65553:JYX65575 KIT65553:KIT65575 KSP65553:KSP65575 LCL65553:LCL65575 LMH65553:LMH65575 LWD65553:LWD65575 MFZ65553:MFZ65575 MPV65553:MPV65575 MZR65553:MZR65575 NJN65553:NJN65575 NTJ65553:NTJ65575 ODF65553:ODF65575 ONB65553:ONB65575 OWX65553:OWX65575 PGT65553:PGT65575 PQP65553:PQP65575 QAL65553:QAL65575 QKH65553:QKH65575 QUD65553:QUD65575 RDZ65553:RDZ65575 RNV65553:RNV65575 RXR65553:RXR65575 SHN65553:SHN65575 SRJ65553:SRJ65575 TBF65553:TBF65575 TLB65553:TLB65575 TUX65553:TUX65575 UET65553:UET65575 UOP65553:UOP65575 UYL65553:UYL65575 VIH65553:VIH65575 VSD65553:VSD65575 WBZ65553:WBZ65575 WLV65553:WLV65575 WVR65553:WVR65575 J131089:J131111 JF131089:JF131111 TB131089:TB131111 ACX131089:ACX131111 AMT131089:AMT131111 AWP131089:AWP131111 BGL131089:BGL131111 BQH131089:BQH131111 CAD131089:CAD131111 CJZ131089:CJZ131111 CTV131089:CTV131111 DDR131089:DDR131111 DNN131089:DNN131111 DXJ131089:DXJ131111 EHF131089:EHF131111 ERB131089:ERB131111 FAX131089:FAX131111 FKT131089:FKT131111 FUP131089:FUP131111 GEL131089:GEL131111 GOH131089:GOH131111 GYD131089:GYD131111 HHZ131089:HHZ131111 HRV131089:HRV131111 IBR131089:IBR131111 ILN131089:ILN131111 IVJ131089:IVJ131111 JFF131089:JFF131111 JPB131089:JPB131111 JYX131089:JYX131111 KIT131089:KIT131111 KSP131089:KSP131111 LCL131089:LCL131111 LMH131089:LMH131111 LWD131089:LWD131111 MFZ131089:MFZ131111 MPV131089:MPV131111 MZR131089:MZR131111 NJN131089:NJN131111 NTJ131089:NTJ131111 ODF131089:ODF131111 ONB131089:ONB131111 OWX131089:OWX131111 PGT131089:PGT131111 PQP131089:PQP131111 QAL131089:QAL131111 QKH131089:QKH131111 QUD131089:QUD131111 RDZ131089:RDZ131111 RNV131089:RNV131111 RXR131089:RXR131111 SHN131089:SHN131111 SRJ131089:SRJ131111 TBF131089:TBF131111 TLB131089:TLB131111 TUX131089:TUX131111 UET131089:UET131111 UOP131089:UOP131111 UYL131089:UYL131111 VIH131089:VIH131111 VSD131089:VSD131111 WBZ131089:WBZ131111 WLV131089:WLV131111 WVR131089:WVR131111 J196625:J196647 JF196625:JF196647 TB196625:TB196647 ACX196625:ACX196647 AMT196625:AMT196647 AWP196625:AWP196647 BGL196625:BGL196647 BQH196625:BQH196647 CAD196625:CAD196647 CJZ196625:CJZ196647 CTV196625:CTV196647 DDR196625:DDR196647 DNN196625:DNN196647 DXJ196625:DXJ196647 EHF196625:EHF196647 ERB196625:ERB196647 FAX196625:FAX196647 FKT196625:FKT196647 FUP196625:FUP196647 GEL196625:GEL196647 GOH196625:GOH196647 GYD196625:GYD196647 HHZ196625:HHZ196647 HRV196625:HRV196647 IBR196625:IBR196647 ILN196625:ILN196647 IVJ196625:IVJ196647 JFF196625:JFF196647 JPB196625:JPB196647 JYX196625:JYX196647 KIT196625:KIT196647 KSP196625:KSP196647 LCL196625:LCL196647 LMH196625:LMH196647 LWD196625:LWD196647 MFZ196625:MFZ196647 MPV196625:MPV196647 MZR196625:MZR196647 NJN196625:NJN196647 NTJ196625:NTJ196647 ODF196625:ODF196647 ONB196625:ONB196647 OWX196625:OWX196647 PGT196625:PGT196647 PQP196625:PQP196647 QAL196625:QAL196647 QKH196625:QKH196647 QUD196625:QUD196647 RDZ196625:RDZ196647 RNV196625:RNV196647 RXR196625:RXR196647 SHN196625:SHN196647 SRJ196625:SRJ196647 TBF196625:TBF196647 TLB196625:TLB196647 TUX196625:TUX196647 UET196625:UET196647 UOP196625:UOP196647 UYL196625:UYL196647 VIH196625:VIH196647 VSD196625:VSD196647 WBZ196625:WBZ196647 WLV196625:WLV196647 WVR196625:WVR196647 J262161:J262183 JF262161:JF262183 TB262161:TB262183 ACX262161:ACX262183 AMT262161:AMT262183 AWP262161:AWP262183 BGL262161:BGL262183 BQH262161:BQH262183 CAD262161:CAD262183 CJZ262161:CJZ262183 CTV262161:CTV262183 DDR262161:DDR262183 DNN262161:DNN262183 DXJ262161:DXJ262183 EHF262161:EHF262183 ERB262161:ERB262183 FAX262161:FAX262183 FKT262161:FKT262183 FUP262161:FUP262183 GEL262161:GEL262183 GOH262161:GOH262183 GYD262161:GYD262183 HHZ262161:HHZ262183 HRV262161:HRV262183 IBR262161:IBR262183 ILN262161:ILN262183 IVJ262161:IVJ262183 JFF262161:JFF262183 JPB262161:JPB262183 JYX262161:JYX262183 KIT262161:KIT262183 KSP262161:KSP262183 LCL262161:LCL262183 LMH262161:LMH262183 LWD262161:LWD262183 MFZ262161:MFZ262183 MPV262161:MPV262183 MZR262161:MZR262183 NJN262161:NJN262183 NTJ262161:NTJ262183 ODF262161:ODF262183 ONB262161:ONB262183 OWX262161:OWX262183 PGT262161:PGT262183 PQP262161:PQP262183 QAL262161:QAL262183 QKH262161:QKH262183 QUD262161:QUD262183 RDZ262161:RDZ262183 RNV262161:RNV262183 RXR262161:RXR262183 SHN262161:SHN262183 SRJ262161:SRJ262183 TBF262161:TBF262183 TLB262161:TLB262183 TUX262161:TUX262183 UET262161:UET262183 UOP262161:UOP262183 UYL262161:UYL262183 VIH262161:VIH262183 VSD262161:VSD262183 WBZ262161:WBZ262183 WLV262161:WLV262183 WVR262161:WVR262183 J327697:J327719 JF327697:JF327719 TB327697:TB327719 ACX327697:ACX327719 AMT327697:AMT327719 AWP327697:AWP327719 BGL327697:BGL327719 BQH327697:BQH327719 CAD327697:CAD327719 CJZ327697:CJZ327719 CTV327697:CTV327719 DDR327697:DDR327719 DNN327697:DNN327719 DXJ327697:DXJ327719 EHF327697:EHF327719 ERB327697:ERB327719 FAX327697:FAX327719 FKT327697:FKT327719 FUP327697:FUP327719 GEL327697:GEL327719 GOH327697:GOH327719 GYD327697:GYD327719 HHZ327697:HHZ327719 HRV327697:HRV327719 IBR327697:IBR327719 ILN327697:ILN327719 IVJ327697:IVJ327719 JFF327697:JFF327719 JPB327697:JPB327719 JYX327697:JYX327719 KIT327697:KIT327719 KSP327697:KSP327719 LCL327697:LCL327719 LMH327697:LMH327719 LWD327697:LWD327719 MFZ327697:MFZ327719 MPV327697:MPV327719 MZR327697:MZR327719 NJN327697:NJN327719 NTJ327697:NTJ327719 ODF327697:ODF327719 ONB327697:ONB327719 OWX327697:OWX327719 PGT327697:PGT327719 PQP327697:PQP327719 QAL327697:QAL327719 QKH327697:QKH327719 QUD327697:QUD327719 RDZ327697:RDZ327719 RNV327697:RNV327719 RXR327697:RXR327719 SHN327697:SHN327719 SRJ327697:SRJ327719 TBF327697:TBF327719 TLB327697:TLB327719 TUX327697:TUX327719 UET327697:UET327719 UOP327697:UOP327719 UYL327697:UYL327719 VIH327697:VIH327719 VSD327697:VSD327719 WBZ327697:WBZ327719 WLV327697:WLV327719 WVR327697:WVR327719 J393233:J393255 JF393233:JF393255 TB393233:TB393255 ACX393233:ACX393255 AMT393233:AMT393255 AWP393233:AWP393255 BGL393233:BGL393255 BQH393233:BQH393255 CAD393233:CAD393255 CJZ393233:CJZ393255 CTV393233:CTV393255 DDR393233:DDR393255 DNN393233:DNN393255 DXJ393233:DXJ393255 EHF393233:EHF393255 ERB393233:ERB393255 FAX393233:FAX393255 FKT393233:FKT393255 FUP393233:FUP393255 GEL393233:GEL393255 GOH393233:GOH393255 GYD393233:GYD393255 HHZ393233:HHZ393255 HRV393233:HRV393255 IBR393233:IBR393255 ILN393233:ILN393255 IVJ393233:IVJ393255 JFF393233:JFF393255 JPB393233:JPB393255 JYX393233:JYX393255 KIT393233:KIT393255 KSP393233:KSP393255 LCL393233:LCL393255 LMH393233:LMH393255 LWD393233:LWD393255 MFZ393233:MFZ393255 MPV393233:MPV393255 MZR393233:MZR393255 NJN393233:NJN393255 NTJ393233:NTJ393255 ODF393233:ODF393255 ONB393233:ONB393255 OWX393233:OWX393255 PGT393233:PGT393255 PQP393233:PQP393255 QAL393233:QAL393255 QKH393233:QKH393255 QUD393233:QUD393255 RDZ393233:RDZ393255 RNV393233:RNV393255 RXR393233:RXR393255 SHN393233:SHN393255 SRJ393233:SRJ393255 TBF393233:TBF393255 TLB393233:TLB393255 TUX393233:TUX393255 UET393233:UET393255 UOP393233:UOP393255 UYL393233:UYL393255 VIH393233:VIH393255 VSD393233:VSD393255 WBZ393233:WBZ393255 WLV393233:WLV393255 WVR393233:WVR393255 J458769:J458791 JF458769:JF458791 TB458769:TB458791 ACX458769:ACX458791 AMT458769:AMT458791 AWP458769:AWP458791 BGL458769:BGL458791 BQH458769:BQH458791 CAD458769:CAD458791 CJZ458769:CJZ458791 CTV458769:CTV458791 DDR458769:DDR458791 DNN458769:DNN458791 DXJ458769:DXJ458791 EHF458769:EHF458791 ERB458769:ERB458791 FAX458769:FAX458791 FKT458769:FKT458791 FUP458769:FUP458791 GEL458769:GEL458791 GOH458769:GOH458791 GYD458769:GYD458791 HHZ458769:HHZ458791 HRV458769:HRV458791 IBR458769:IBR458791 ILN458769:ILN458791 IVJ458769:IVJ458791 JFF458769:JFF458791 JPB458769:JPB458791 JYX458769:JYX458791 KIT458769:KIT458791 KSP458769:KSP458791 LCL458769:LCL458791 LMH458769:LMH458791 LWD458769:LWD458791 MFZ458769:MFZ458791 MPV458769:MPV458791 MZR458769:MZR458791 NJN458769:NJN458791 NTJ458769:NTJ458791 ODF458769:ODF458791 ONB458769:ONB458791 OWX458769:OWX458791 PGT458769:PGT458791 PQP458769:PQP458791 QAL458769:QAL458791 QKH458769:QKH458791 QUD458769:QUD458791 RDZ458769:RDZ458791 RNV458769:RNV458791 RXR458769:RXR458791 SHN458769:SHN458791 SRJ458769:SRJ458791 TBF458769:TBF458791 TLB458769:TLB458791 TUX458769:TUX458791 UET458769:UET458791 UOP458769:UOP458791 UYL458769:UYL458791 VIH458769:VIH458791 VSD458769:VSD458791 WBZ458769:WBZ458791 WLV458769:WLV458791 WVR458769:WVR458791 J524305:J524327 JF524305:JF524327 TB524305:TB524327 ACX524305:ACX524327 AMT524305:AMT524327 AWP524305:AWP524327 BGL524305:BGL524327 BQH524305:BQH524327 CAD524305:CAD524327 CJZ524305:CJZ524327 CTV524305:CTV524327 DDR524305:DDR524327 DNN524305:DNN524327 DXJ524305:DXJ524327 EHF524305:EHF524327 ERB524305:ERB524327 FAX524305:FAX524327 FKT524305:FKT524327 FUP524305:FUP524327 GEL524305:GEL524327 GOH524305:GOH524327 GYD524305:GYD524327 HHZ524305:HHZ524327 HRV524305:HRV524327 IBR524305:IBR524327 ILN524305:ILN524327 IVJ524305:IVJ524327 JFF524305:JFF524327 JPB524305:JPB524327 JYX524305:JYX524327 KIT524305:KIT524327 KSP524305:KSP524327 LCL524305:LCL524327 LMH524305:LMH524327 LWD524305:LWD524327 MFZ524305:MFZ524327 MPV524305:MPV524327 MZR524305:MZR524327 NJN524305:NJN524327 NTJ524305:NTJ524327 ODF524305:ODF524327 ONB524305:ONB524327 OWX524305:OWX524327 PGT524305:PGT524327 PQP524305:PQP524327 QAL524305:QAL524327 QKH524305:QKH524327 QUD524305:QUD524327 RDZ524305:RDZ524327 RNV524305:RNV524327 RXR524305:RXR524327 SHN524305:SHN524327 SRJ524305:SRJ524327 TBF524305:TBF524327 TLB524305:TLB524327 TUX524305:TUX524327 UET524305:UET524327 UOP524305:UOP524327 UYL524305:UYL524327 VIH524305:VIH524327 VSD524305:VSD524327 WBZ524305:WBZ524327 WLV524305:WLV524327 WVR524305:WVR524327 J589841:J589863 JF589841:JF589863 TB589841:TB589863 ACX589841:ACX589863 AMT589841:AMT589863 AWP589841:AWP589863 BGL589841:BGL589863 BQH589841:BQH589863 CAD589841:CAD589863 CJZ589841:CJZ589863 CTV589841:CTV589863 DDR589841:DDR589863 DNN589841:DNN589863 DXJ589841:DXJ589863 EHF589841:EHF589863 ERB589841:ERB589863 FAX589841:FAX589863 FKT589841:FKT589863 FUP589841:FUP589863 GEL589841:GEL589863 GOH589841:GOH589863 GYD589841:GYD589863 HHZ589841:HHZ589863 HRV589841:HRV589863 IBR589841:IBR589863 ILN589841:ILN589863 IVJ589841:IVJ589863 JFF589841:JFF589863 JPB589841:JPB589863 JYX589841:JYX589863 KIT589841:KIT589863 KSP589841:KSP589863 LCL589841:LCL589863 LMH589841:LMH589863 LWD589841:LWD589863 MFZ589841:MFZ589863 MPV589841:MPV589863 MZR589841:MZR589863 NJN589841:NJN589863 NTJ589841:NTJ589863 ODF589841:ODF589863 ONB589841:ONB589863 OWX589841:OWX589863 PGT589841:PGT589863 PQP589841:PQP589863 QAL589841:QAL589863 QKH589841:QKH589863 QUD589841:QUD589863 RDZ589841:RDZ589863 RNV589841:RNV589863 RXR589841:RXR589863 SHN589841:SHN589863 SRJ589841:SRJ589863 TBF589841:TBF589863 TLB589841:TLB589863 TUX589841:TUX589863 UET589841:UET589863 UOP589841:UOP589863 UYL589841:UYL589863 VIH589841:VIH589863 VSD589841:VSD589863 WBZ589841:WBZ589863 WLV589841:WLV589863 WVR589841:WVR589863 J655377:J655399 JF655377:JF655399 TB655377:TB655399 ACX655377:ACX655399 AMT655377:AMT655399 AWP655377:AWP655399 BGL655377:BGL655399 BQH655377:BQH655399 CAD655377:CAD655399 CJZ655377:CJZ655399 CTV655377:CTV655399 DDR655377:DDR655399 DNN655377:DNN655399 DXJ655377:DXJ655399 EHF655377:EHF655399 ERB655377:ERB655399 FAX655377:FAX655399 FKT655377:FKT655399 FUP655377:FUP655399 GEL655377:GEL655399 GOH655377:GOH655399 GYD655377:GYD655399 HHZ655377:HHZ655399 HRV655377:HRV655399 IBR655377:IBR655399 ILN655377:ILN655399 IVJ655377:IVJ655399 JFF655377:JFF655399 JPB655377:JPB655399 JYX655377:JYX655399 KIT655377:KIT655399 KSP655377:KSP655399 LCL655377:LCL655399 LMH655377:LMH655399 LWD655377:LWD655399 MFZ655377:MFZ655399 MPV655377:MPV655399 MZR655377:MZR655399 NJN655377:NJN655399 NTJ655377:NTJ655399 ODF655377:ODF655399 ONB655377:ONB655399 OWX655377:OWX655399 PGT655377:PGT655399 PQP655377:PQP655399 QAL655377:QAL655399 QKH655377:QKH655399 QUD655377:QUD655399 RDZ655377:RDZ655399 RNV655377:RNV655399 RXR655377:RXR655399 SHN655377:SHN655399 SRJ655377:SRJ655399 TBF655377:TBF655399 TLB655377:TLB655399 TUX655377:TUX655399 UET655377:UET655399 UOP655377:UOP655399 UYL655377:UYL655399 VIH655377:VIH655399 VSD655377:VSD655399 WBZ655377:WBZ655399 WLV655377:WLV655399 WVR655377:WVR655399 J720913:J720935 JF720913:JF720935 TB720913:TB720935 ACX720913:ACX720935 AMT720913:AMT720935 AWP720913:AWP720935 BGL720913:BGL720935 BQH720913:BQH720935 CAD720913:CAD720935 CJZ720913:CJZ720935 CTV720913:CTV720935 DDR720913:DDR720935 DNN720913:DNN720935 DXJ720913:DXJ720935 EHF720913:EHF720935 ERB720913:ERB720935 FAX720913:FAX720935 FKT720913:FKT720935 FUP720913:FUP720935 GEL720913:GEL720935 GOH720913:GOH720935 GYD720913:GYD720935 HHZ720913:HHZ720935 HRV720913:HRV720935 IBR720913:IBR720935 ILN720913:ILN720935 IVJ720913:IVJ720935 JFF720913:JFF720935 JPB720913:JPB720935 JYX720913:JYX720935 KIT720913:KIT720935 KSP720913:KSP720935 LCL720913:LCL720935 LMH720913:LMH720935 LWD720913:LWD720935 MFZ720913:MFZ720935 MPV720913:MPV720935 MZR720913:MZR720935 NJN720913:NJN720935 NTJ720913:NTJ720935 ODF720913:ODF720935 ONB720913:ONB720935 OWX720913:OWX720935 PGT720913:PGT720935 PQP720913:PQP720935 QAL720913:QAL720935 QKH720913:QKH720935 QUD720913:QUD720935 RDZ720913:RDZ720935 RNV720913:RNV720935 RXR720913:RXR720935 SHN720913:SHN720935 SRJ720913:SRJ720935 TBF720913:TBF720935 TLB720913:TLB720935 TUX720913:TUX720935 UET720913:UET720935 UOP720913:UOP720935 UYL720913:UYL720935 VIH720913:VIH720935 VSD720913:VSD720935 WBZ720913:WBZ720935 WLV720913:WLV720935 WVR720913:WVR720935 J786449:J786471 JF786449:JF786471 TB786449:TB786471 ACX786449:ACX786471 AMT786449:AMT786471 AWP786449:AWP786471 BGL786449:BGL786471 BQH786449:BQH786471 CAD786449:CAD786471 CJZ786449:CJZ786471 CTV786449:CTV786471 DDR786449:DDR786471 DNN786449:DNN786471 DXJ786449:DXJ786471 EHF786449:EHF786471 ERB786449:ERB786471 FAX786449:FAX786471 FKT786449:FKT786471 FUP786449:FUP786471 GEL786449:GEL786471 GOH786449:GOH786471 GYD786449:GYD786471 HHZ786449:HHZ786471 HRV786449:HRV786471 IBR786449:IBR786471 ILN786449:ILN786471 IVJ786449:IVJ786471 JFF786449:JFF786471 JPB786449:JPB786471 JYX786449:JYX786471 KIT786449:KIT786471 KSP786449:KSP786471 LCL786449:LCL786471 LMH786449:LMH786471 LWD786449:LWD786471 MFZ786449:MFZ786471 MPV786449:MPV786471 MZR786449:MZR786471 NJN786449:NJN786471 NTJ786449:NTJ786471 ODF786449:ODF786471 ONB786449:ONB786471 OWX786449:OWX786471 PGT786449:PGT786471 PQP786449:PQP786471 QAL786449:QAL786471 QKH786449:QKH786471 QUD786449:QUD786471 RDZ786449:RDZ786471 RNV786449:RNV786471 RXR786449:RXR786471 SHN786449:SHN786471 SRJ786449:SRJ786471 TBF786449:TBF786471 TLB786449:TLB786471 TUX786449:TUX786471 UET786449:UET786471 UOP786449:UOP786471 UYL786449:UYL786471 VIH786449:VIH786471 VSD786449:VSD786471 WBZ786449:WBZ786471 WLV786449:WLV786471 WVR786449:WVR786471 J851985:J852007 JF851985:JF852007 TB851985:TB852007 ACX851985:ACX852007 AMT851985:AMT852007 AWP851985:AWP852007 BGL851985:BGL852007 BQH851985:BQH852007 CAD851985:CAD852007 CJZ851985:CJZ852007 CTV851985:CTV852007 DDR851985:DDR852007 DNN851985:DNN852007 DXJ851985:DXJ852007 EHF851985:EHF852007 ERB851985:ERB852007 FAX851985:FAX852007 FKT851985:FKT852007 FUP851985:FUP852007 GEL851985:GEL852007 GOH851985:GOH852007 GYD851985:GYD852007 HHZ851985:HHZ852007 HRV851985:HRV852007 IBR851985:IBR852007 ILN851985:ILN852007 IVJ851985:IVJ852007 JFF851985:JFF852007 JPB851985:JPB852007 JYX851985:JYX852007 KIT851985:KIT852007 KSP851985:KSP852007 LCL851985:LCL852007 LMH851985:LMH852007 LWD851985:LWD852007 MFZ851985:MFZ852007 MPV851985:MPV852007 MZR851985:MZR852007 NJN851985:NJN852007 NTJ851985:NTJ852007 ODF851985:ODF852007 ONB851985:ONB852007 OWX851985:OWX852007 PGT851985:PGT852007 PQP851985:PQP852007 QAL851985:QAL852007 QKH851985:QKH852007 QUD851985:QUD852007 RDZ851985:RDZ852007 RNV851985:RNV852007 RXR851985:RXR852007 SHN851985:SHN852007 SRJ851985:SRJ852007 TBF851985:TBF852007 TLB851985:TLB852007 TUX851985:TUX852007 UET851985:UET852007 UOP851985:UOP852007 UYL851985:UYL852007 VIH851985:VIH852007 VSD851985:VSD852007 WBZ851985:WBZ852007 WLV851985:WLV852007 WVR851985:WVR852007 J917521:J917543 JF917521:JF917543 TB917521:TB917543 ACX917521:ACX917543 AMT917521:AMT917543 AWP917521:AWP917543 BGL917521:BGL917543 BQH917521:BQH917543 CAD917521:CAD917543 CJZ917521:CJZ917543 CTV917521:CTV917543 DDR917521:DDR917543 DNN917521:DNN917543 DXJ917521:DXJ917543 EHF917521:EHF917543 ERB917521:ERB917543 FAX917521:FAX917543 FKT917521:FKT917543 FUP917521:FUP917543 GEL917521:GEL917543 GOH917521:GOH917543 GYD917521:GYD917543 HHZ917521:HHZ917543 HRV917521:HRV917543 IBR917521:IBR917543 ILN917521:ILN917543 IVJ917521:IVJ917543 JFF917521:JFF917543 JPB917521:JPB917543 JYX917521:JYX917543 KIT917521:KIT917543 KSP917521:KSP917543 LCL917521:LCL917543 LMH917521:LMH917543 LWD917521:LWD917543 MFZ917521:MFZ917543 MPV917521:MPV917543 MZR917521:MZR917543 NJN917521:NJN917543 NTJ917521:NTJ917543 ODF917521:ODF917543 ONB917521:ONB917543 OWX917521:OWX917543 PGT917521:PGT917543 PQP917521:PQP917543 QAL917521:QAL917543 QKH917521:QKH917543 QUD917521:QUD917543 RDZ917521:RDZ917543 RNV917521:RNV917543 RXR917521:RXR917543 SHN917521:SHN917543 SRJ917521:SRJ917543 TBF917521:TBF917543 TLB917521:TLB917543 TUX917521:TUX917543 UET917521:UET917543 UOP917521:UOP917543 UYL917521:UYL917543 VIH917521:VIH917543 VSD917521:VSD917543 WBZ917521:WBZ917543 WLV917521:WLV917543 WVR917521:WVR917543 J983057:J983079 JF983057:JF983079 TB983057:TB983079 ACX983057:ACX983079 AMT983057:AMT983079 AWP983057:AWP983079 BGL983057:BGL983079 BQH983057:BQH983079 CAD983057:CAD983079 CJZ983057:CJZ983079 CTV983057:CTV983079 DDR983057:DDR983079 DNN983057:DNN983079 DXJ983057:DXJ983079 EHF983057:EHF983079 ERB983057:ERB983079 FAX983057:FAX983079 FKT983057:FKT983079 FUP983057:FUP983079 GEL983057:GEL983079 GOH983057:GOH983079 GYD983057:GYD983079 HHZ983057:HHZ983079 HRV983057:HRV983079 IBR983057:IBR983079 ILN983057:ILN983079 IVJ983057:IVJ983079 JFF983057:JFF983079 JPB983057:JPB983079 JYX983057:JYX983079 KIT983057:KIT983079 KSP983057:KSP983079 LCL983057:LCL983079 LMH983057:LMH983079 LWD983057:LWD983079 MFZ983057:MFZ983079 MPV983057:MPV983079 MZR983057:MZR983079 NJN983057:NJN983079 NTJ983057:NTJ983079 ODF983057:ODF983079 ONB983057:ONB983079 OWX983057:OWX983079 PGT983057:PGT983079 PQP983057:PQP983079 QAL983057:QAL983079 QKH983057:QKH983079 QUD983057:QUD983079 RDZ983057:RDZ983079 RNV983057:RNV983079 RXR983057:RXR983079 SHN983057:SHN983079 SRJ983057:SRJ983079 TBF983057:TBF983079 TLB983057:TLB983079 TUX983057:TUX983079 UET983057:UET983079 UOP983057:UOP983079 UYL983057:UYL983079 VIH983057:VIH983079 VSD983057:VSD983079 WBZ983057:WBZ983079 WLV983057:WLV983079 WVR983057:WVR983079 WVN89:WVN95 WLR89:WLR95 WBV89:WBV95 VRZ89:VRZ95 VID89:VID95 UYH89:UYH95 UOL89:UOL95 UEP89:UEP95 TUT89:TUT95 TKX89:TKX95 TBB89:TBB95 SRF89:SRF95 SHJ89:SHJ95 RXN89:RXN95 RNR89:RNR95 RDV89:RDV95 QTZ89:QTZ95 QKD89:QKD95 QAH89:QAH95 PQL89:PQL95 PGP89:PGP95 OWT89:OWT95 OMX89:OMX95 ODB89:ODB95 NTF89:NTF95 NJJ89:NJJ95 MZN89:MZN95 MPR89:MPR95 MFV89:MFV95 LVZ89:LVZ95 LMD89:LMD95 LCH89:LCH95 KSL89:KSL95 KIP89:KIP95 JYT89:JYT95 JOX89:JOX95 JFB89:JFB95 IVF89:IVF95 ILJ89:ILJ95 IBN89:IBN95 HRR89:HRR95 HHV89:HHV95 GXZ89:GXZ95 GOD89:GOD95 GEH89:GEH95 FUL89:FUL95 FKP89:FKP95 FAT89:FAT95 EQX89:EQX95 EHB89:EHB95 DXF89:DXF95 DNJ89:DNJ95 DDN89:DDN95 CTR89:CTR95 CJV89:CJV95 BZZ89:BZZ95 BQD89:BQD95 BGH89:BGH95 AWL89:AWL95 AMP89:AMP95 ACT89:ACT95 SX89:SX95 JB89:JB95 F89:F95">
      <formula1>"■ 是,□ 否"</formula1>
    </dataValidation>
    <dataValidation type="list" allowBlank="1" showInputMessage="1" showErrorMessage="1" sqref="E65628:E65632 JA65628:JA65632 SW65628:SW65632 ACS65628:ACS65632 AMO65628:AMO65632 AWK65628:AWK65632 BGG65628:BGG65632 BQC65628:BQC65632 BZY65628:BZY65632 CJU65628:CJU65632 CTQ65628:CTQ65632 DDM65628:DDM65632 DNI65628:DNI65632 DXE65628:DXE65632 EHA65628:EHA65632 EQW65628:EQW65632 FAS65628:FAS65632 FKO65628:FKO65632 FUK65628:FUK65632 GEG65628:GEG65632 GOC65628:GOC65632 GXY65628:GXY65632 HHU65628:HHU65632 HRQ65628:HRQ65632 IBM65628:IBM65632 ILI65628:ILI65632 IVE65628:IVE65632 JFA65628:JFA65632 JOW65628:JOW65632 JYS65628:JYS65632 KIO65628:KIO65632 KSK65628:KSK65632 LCG65628:LCG65632 LMC65628:LMC65632 LVY65628:LVY65632 MFU65628:MFU65632 MPQ65628:MPQ65632 MZM65628:MZM65632 NJI65628:NJI65632 NTE65628:NTE65632 ODA65628:ODA65632 OMW65628:OMW65632 OWS65628:OWS65632 PGO65628:PGO65632 PQK65628:PQK65632 QAG65628:QAG65632 QKC65628:QKC65632 QTY65628:QTY65632 RDU65628:RDU65632 RNQ65628:RNQ65632 RXM65628:RXM65632 SHI65628:SHI65632 SRE65628:SRE65632 TBA65628:TBA65632 TKW65628:TKW65632 TUS65628:TUS65632 UEO65628:UEO65632 UOK65628:UOK65632 UYG65628:UYG65632 VIC65628:VIC65632 VRY65628:VRY65632 WBU65628:WBU65632 WLQ65628:WLQ65632 WVM65628:WVM65632 E131164:E131168 JA131164:JA131168 SW131164:SW131168 ACS131164:ACS131168 AMO131164:AMO131168 AWK131164:AWK131168 BGG131164:BGG131168 BQC131164:BQC131168 BZY131164:BZY131168 CJU131164:CJU131168 CTQ131164:CTQ131168 DDM131164:DDM131168 DNI131164:DNI131168 DXE131164:DXE131168 EHA131164:EHA131168 EQW131164:EQW131168 FAS131164:FAS131168 FKO131164:FKO131168 FUK131164:FUK131168 GEG131164:GEG131168 GOC131164:GOC131168 GXY131164:GXY131168 HHU131164:HHU131168 HRQ131164:HRQ131168 IBM131164:IBM131168 ILI131164:ILI131168 IVE131164:IVE131168 JFA131164:JFA131168 JOW131164:JOW131168 JYS131164:JYS131168 KIO131164:KIO131168 KSK131164:KSK131168 LCG131164:LCG131168 LMC131164:LMC131168 LVY131164:LVY131168 MFU131164:MFU131168 MPQ131164:MPQ131168 MZM131164:MZM131168 NJI131164:NJI131168 NTE131164:NTE131168 ODA131164:ODA131168 OMW131164:OMW131168 OWS131164:OWS131168 PGO131164:PGO131168 PQK131164:PQK131168 QAG131164:QAG131168 QKC131164:QKC131168 QTY131164:QTY131168 RDU131164:RDU131168 RNQ131164:RNQ131168 RXM131164:RXM131168 SHI131164:SHI131168 SRE131164:SRE131168 TBA131164:TBA131168 TKW131164:TKW131168 TUS131164:TUS131168 UEO131164:UEO131168 UOK131164:UOK131168 UYG131164:UYG131168 VIC131164:VIC131168 VRY131164:VRY131168 WBU131164:WBU131168 WLQ131164:WLQ131168 WVM131164:WVM131168 E196700:E196704 JA196700:JA196704 SW196700:SW196704 ACS196700:ACS196704 AMO196700:AMO196704 AWK196700:AWK196704 BGG196700:BGG196704 BQC196700:BQC196704 BZY196700:BZY196704 CJU196700:CJU196704 CTQ196700:CTQ196704 DDM196700:DDM196704 DNI196700:DNI196704 DXE196700:DXE196704 EHA196700:EHA196704 EQW196700:EQW196704 FAS196700:FAS196704 FKO196700:FKO196704 FUK196700:FUK196704 GEG196700:GEG196704 GOC196700:GOC196704 GXY196700:GXY196704 HHU196700:HHU196704 HRQ196700:HRQ196704 IBM196700:IBM196704 ILI196700:ILI196704 IVE196700:IVE196704 JFA196700:JFA196704 JOW196700:JOW196704 JYS196700:JYS196704 KIO196700:KIO196704 KSK196700:KSK196704 LCG196700:LCG196704 LMC196700:LMC196704 LVY196700:LVY196704 MFU196700:MFU196704 MPQ196700:MPQ196704 MZM196700:MZM196704 NJI196700:NJI196704 NTE196700:NTE196704 ODA196700:ODA196704 OMW196700:OMW196704 OWS196700:OWS196704 PGO196700:PGO196704 PQK196700:PQK196704 QAG196700:QAG196704 QKC196700:QKC196704 QTY196700:QTY196704 RDU196700:RDU196704 RNQ196700:RNQ196704 RXM196700:RXM196704 SHI196700:SHI196704 SRE196700:SRE196704 TBA196700:TBA196704 TKW196700:TKW196704 TUS196700:TUS196704 UEO196700:UEO196704 UOK196700:UOK196704 UYG196700:UYG196704 VIC196700:VIC196704 VRY196700:VRY196704 WBU196700:WBU196704 WLQ196700:WLQ196704 WVM196700:WVM196704 E262236:E262240 JA262236:JA262240 SW262236:SW262240 ACS262236:ACS262240 AMO262236:AMO262240 AWK262236:AWK262240 BGG262236:BGG262240 BQC262236:BQC262240 BZY262236:BZY262240 CJU262236:CJU262240 CTQ262236:CTQ262240 DDM262236:DDM262240 DNI262236:DNI262240 DXE262236:DXE262240 EHA262236:EHA262240 EQW262236:EQW262240 FAS262236:FAS262240 FKO262236:FKO262240 FUK262236:FUK262240 GEG262236:GEG262240 GOC262236:GOC262240 GXY262236:GXY262240 HHU262236:HHU262240 HRQ262236:HRQ262240 IBM262236:IBM262240 ILI262236:ILI262240 IVE262236:IVE262240 JFA262236:JFA262240 JOW262236:JOW262240 JYS262236:JYS262240 KIO262236:KIO262240 KSK262236:KSK262240 LCG262236:LCG262240 LMC262236:LMC262240 LVY262236:LVY262240 MFU262236:MFU262240 MPQ262236:MPQ262240 MZM262236:MZM262240 NJI262236:NJI262240 NTE262236:NTE262240 ODA262236:ODA262240 OMW262236:OMW262240 OWS262236:OWS262240 PGO262236:PGO262240 PQK262236:PQK262240 QAG262236:QAG262240 QKC262236:QKC262240 QTY262236:QTY262240 RDU262236:RDU262240 RNQ262236:RNQ262240 RXM262236:RXM262240 SHI262236:SHI262240 SRE262236:SRE262240 TBA262236:TBA262240 TKW262236:TKW262240 TUS262236:TUS262240 UEO262236:UEO262240 UOK262236:UOK262240 UYG262236:UYG262240 VIC262236:VIC262240 VRY262236:VRY262240 WBU262236:WBU262240 WLQ262236:WLQ262240 WVM262236:WVM262240 E327772:E327776 JA327772:JA327776 SW327772:SW327776 ACS327772:ACS327776 AMO327772:AMO327776 AWK327772:AWK327776 BGG327772:BGG327776 BQC327772:BQC327776 BZY327772:BZY327776 CJU327772:CJU327776 CTQ327772:CTQ327776 DDM327772:DDM327776 DNI327772:DNI327776 DXE327772:DXE327776 EHA327772:EHA327776 EQW327772:EQW327776 FAS327772:FAS327776 FKO327772:FKO327776 FUK327772:FUK327776 GEG327772:GEG327776 GOC327772:GOC327776 GXY327772:GXY327776 HHU327772:HHU327776 HRQ327772:HRQ327776 IBM327772:IBM327776 ILI327772:ILI327776 IVE327772:IVE327776 JFA327772:JFA327776 JOW327772:JOW327776 JYS327772:JYS327776 KIO327772:KIO327776 KSK327772:KSK327776 LCG327772:LCG327776 LMC327772:LMC327776 LVY327772:LVY327776 MFU327772:MFU327776 MPQ327772:MPQ327776 MZM327772:MZM327776 NJI327772:NJI327776 NTE327772:NTE327776 ODA327772:ODA327776 OMW327772:OMW327776 OWS327772:OWS327776 PGO327772:PGO327776 PQK327772:PQK327776 QAG327772:QAG327776 QKC327772:QKC327776 QTY327772:QTY327776 RDU327772:RDU327776 RNQ327772:RNQ327776 RXM327772:RXM327776 SHI327772:SHI327776 SRE327772:SRE327776 TBA327772:TBA327776 TKW327772:TKW327776 TUS327772:TUS327776 UEO327772:UEO327776 UOK327772:UOK327776 UYG327772:UYG327776 VIC327772:VIC327776 VRY327772:VRY327776 WBU327772:WBU327776 WLQ327772:WLQ327776 WVM327772:WVM327776 E393308:E393312 JA393308:JA393312 SW393308:SW393312 ACS393308:ACS393312 AMO393308:AMO393312 AWK393308:AWK393312 BGG393308:BGG393312 BQC393308:BQC393312 BZY393308:BZY393312 CJU393308:CJU393312 CTQ393308:CTQ393312 DDM393308:DDM393312 DNI393308:DNI393312 DXE393308:DXE393312 EHA393308:EHA393312 EQW393308:EQW393312 FAS393308:FAS393312 FKO393308:FKO393312 FUK393308:FUK393312 GEG393308:GEG393312 GOC393308:GOC393312 GXY393308:GXY393312 HHU393308:HHU393312 HRQ393308:HRQ393312 IBM393308:IBM393312 ILI393308:ILI393312 IVE393308:IVE393312 JFA393308:JFA393312 JOW393308:JOW393312 JYS393308:JYS393312 KIO393308:KIO393312 KSK393308:KSK393312 LCG393308:LCG393312 LMC393308:LMC393312 LVY393308:LVY393312 MFU393308:MFU393312 MPQ393308:MPQ393312 MZM393308:MZM393312 NJI393308:NJI393312 NTE393308:NTE393312 ODA393308:ODA393312 OMW393308:OMW393312 OWS393308:OWS393312 PGO393308:PGO393312 PQK393308:PQK393312 QAG393308:QAG393312 QKC393308:QKC393312 QTY393308:QTY393312 RDU393308:RDU393312 RNQ393308:RNQ393312 RXM393308:RXM393312 SHI393308:SHI393312 SRE393308:SRE393312 TBA393308:TBA393312 TKW393308:TKW393312 TUS393308:TUS393312 UEO393308:UEO393312 UOK393308:UOK393312 UYG393308:UYG393312 VIC393308:VIC393312 VRY393308:VRY393312 WBU393308:WBU393312 WLQ393308:WLQ393312 WVM393308:WVM393312 E458844:E458848 JA458844:JA458848 SW458844:SW458848 ACS458844:ACS458848 AMO458844:AMO458848 AWK458844:AWK458848 BGG458844:BGG458848 BQC458844:BQC458848 BZY458844:BZY458848 CJU458844:CJU458848 CTQ458844:CTQ458848 DDM458844:DDM458848 DNI458844:DNI458848 DXE458844:DXE458848 EHA458844:EHA458848 EQW458844:EQW458848 FAS458844:FAS458848 FKO458844:FKO458848 FUK458844:FUK458848 GEG458844:GEG458848 GOC458844:GOC458848 GXY458844:GXY458848 HHU458844:HHU458848 HRQ458844:HRQ458848 IBM458844:IBM458848 ILI458844:ILI458848 IVE458844:IVE458848 JFA458844:JFA458848 JOW458844:JOW458848 JYS458844:JYS458848 KIO458844:KIO458848 KSK458844:KSK458848 LCG458844:LCG458848 LMC458844:LMC458848 LVY458844:LVY458848 MFU458844:MFU458848 MPQ458844:MPQ458848 MZM458844:MZM458848 NJI458844:NJI458848 NTE458844:NTE458848 ODA458844:ODA458848 OMW458844:OMW458848 OWS458844:OWS458848 PGO458844:PGO458848 PQK458844:PQK458848 QAG458844:QAG458848 QKC458844:QKC458848 QTY458844:QTY458848 RDU458844:RDU458848 RNQ458844:RNQ458848 RXM458844:RXM458848 SHI458844:SHI458848 SRE458844:SRE458848 TBA458844:TBA458848 TKW458844:TKW458848 TUS458844:TUS458848 UEO458844:UEO458848 UOK458844:UOK458848 UYG458844:UYG458848 VIC458844:VIC458848 VRY458844:VRY458848 WBU458844:WBU458848 WLQ458844:WLQ458848 WVM458844:WVM458848 E524380:E524384 JA524380:JA524384 SW524380:SW524384 ACS524380:ACS524384 AMO524380:AMO524384 AWK524380:AWK524384 BGG524380:BGG524384 BQC524380:BQC524384 BZY524380:BZY524384 CJU524380:CJU524384 CTQ524380:CTQ524384 DDM524380:DDM524384 DNI524380:DNI524384 DXE524380:DXE524384 EHA524380:EHA524384 EQW524380:EQW524384 FAS524380:FAS524384 FKO524380:FKO524384 FUK524380:FUK524384 GEG524380:GEG524384 GOC524380:GOC524384 GXY524380:GXY524384 HHU524380:HHU524384 HRQ524380:HRQ524384 IBM524380:IBM524384 ILI524380:ILI524384 IVE524380:IVE524384 JFA524380:JFA524384 JOW524380:JOW524384 JYS524380:JYS524384 KIO524380:KIO524384 KSK524380:KSK524384 LCG524380:LCG524384 LMC524380:LMC524384 LVY524380:LVY524384 MFU524380:MFU524384 MPQ524380:MPQ524384 MZM524380:MZM524384 NJI524380:NJI524384 NTE524380:NTE524384 ODA524380:ODA524384 OMW524380:OMW524384 OWS524380:OWS524384 PGO524380:PGO524384 PQK524380:PQK524384 QAG524380:QAG524384 QKC524380:QKC524384 QTY524380:QTY524384 RDU524380:RDU524384 RNQ524380:RNQ524384 RXM524380:RXM524384 SHI524380:SHI524384 SRE524380:SRE524384 TBA524380:TBA524384 TKW524380:TKW524384 TUS524380:TUS524384 UEO524380:UEO524384 UOK524380:UOK524384 UYG524380:UYG524384 VIC524380:VIC524384 VRY524380:VRY524384 WBU524380:WBU524384 WLQ524380:WLQ524384 WVM524380:WVM524384 E589916:E589920 JA589916:JA589920 SW589916:SW589920 ACS589916:ACS589920 AMO589916:AMO589920 AWK589916:AWK589920 BGG589916:BGG589920 BQC589916:BQC589920 BZY589916:BZY589920 CJU589916:CJU589920 CTQ589916:CTQ589920 DDM589916:DDM589920 DNI589916:DNI589920 DXE589916:DXE589920 EHA589916:EHA589920 EQW589916:EQW589920 FAS589916:FAS589920 FKO589916:FKO589920 FUK589916:FUK589920 GEG589916:GEG589920 GOC589916:GOC589920 GXY589916:GXY589920 HHU589916:HHU589920 HRQ589916:HRQ589920 IBM589916:IBM589920 ILI589916:ILI589920 IVE589916:IVE589920 JFA589916:JFA589920 JOW589916:JOW589920 JYS589916:JYS589920 KIO589916:KIO589920 KSK589916:KSK589920 LCG589916:LCG589920 LMC589916:LMC589920 LVY589916:LVY589920 MFU589916:MFU589920 MPQ589916:MPQ589920 MZM589916:MZM589920 NJI589916:NJI589920 NTE589916:NTE589920 ODA589916:ODA589920 OMW589916:OMW589920 OWS589916:OWS589920 PGO589916:PGO589920 PQK589916:PQK589920 QAG589916:QAG589920 QKC589916:QKC589920 QTY589916:QTY589920 RDU589916:RDU589920 RNQ589916:RNQ589920 RXM589916:RXM589920 SHI589916:SHI589920 SRE589916:SRE589920 TBA589916:TBA589920 TKW589916:TKW589920 TUS589916:TUS589920 UEO589916:UEO589920 UOK589916:UOK589920 UYG589916:UYG589920 VIC589916:VIC589920 VRY589916:VRY589920 WBU589916:WBU589920 WLQ589916:WLQ589920 WVM589916:WVM589920 E655452:E655456 JA655452:JA655456 SW655452:SW655456 ACS655452:ACS655456 AMO655452:AMO655456 AWK655452:AWK655456 BGG655452:BGG655456 BQC655452:BQC655456 BZY655452:BZY655456 CJU655452:CJU655456 CTQ655452:CTQ655456 DDM655452:DDM655456 DNI655452:DNI655456 DXE655452:DXE655456 EHA655452:EHA655456 EQW655452:EQW655456 FAS655452:FAS655456 FKO655452:FKO655456 FUK655452:FUK655456 GEG655452:GEG655456 GOC655452:GOC655456 GXY655452:GXY655456 HHU655452:HHU655456 HRQ655452:HRQ655456 IBM655452:IBM655456 ILI655452:ILI655456 IVE655452:IVE655456 JFA655452:JFA655456 JOW655452:JOW655456 JYS655452:JYS655456 KIO655452:KIO655456 KSK655452:KSK655456 LCG655452:LCG655456 LMC655452:LMC655456 LVY655452:LVY655456 MFU655452:MFU655456 MPQ655452:MPQ655456 MZM655452:MZM655456 NJI655452:NJI655456 NTE655452:NTE655456 ODA655452:ODA655456 OMW655452:OMW655456 OWS655452:OWS655456 PGO655452:PGO655456 PQK655452:PQK655456 QAG655452:QAG655456 QKC655452:QKC655456 QTY655452:QTY655456 RDU655452:RDU655456 RNQ655452:RNQ655456 RXM655452:RXM655456 SHI655452:SHI655456 SRE655452:SRE655456 TBA655452:TBA655456 TKW655452:TKW655456 TUS655452:TUS655456 UEO655452:UEO655456 UOK655452:UOK655456 UYG655452:UYG655456 VIC655452:VIC655456 VRY655452:VRY655456 WBU655452:WBU655456 WLQ655452:WLQ655456 WVM655452:WVM655456 E720988:E720992 JA720988:JA720992 SW720988:SW720992 ACS720988:ACS720992 AMO720988:AMO720992 AWK720988:AWK720992 BGG720988:BGG720992 BQC720988:BQC720992 BZY720988:BZY720992 CJU720988:CJU720992 CTQ720988:CTQ720992 DDM720988:DDM720992 DNI720988:DNI720992 DXE720988:DXE720992 EHA720988:EHA720992 EQW720988:EQW720992 FAS720988:FAS720992 FKO720988:FKO720992 FUK720988:FUK720992 GEG720988:GEG720992 GOC720988:GOC720992 GXY720988:GXY720992 HHU720988:HHU720992 HRQ720988:HRQ720992 IBM720988:IBM720992 ILI720988:ILI720992 IVE720988:IVE720992 JFA720988:JFA720992 JOW720988:JOW720992 JYS720988:JYS720992 KIO720988:KIO720992 KSK720988:KSK720992 LCG720988:LCG720992 LMC720988:LMC720992 LVY720988:LVY720992 MFU720988:MFU720992 MPQ720988:MPQ720992 MZM720988:MZM720992 NJI720988:NJI720992 NTE720988:NTE720992 ODA720988:ODA720992 OMW720988:OMW720992 OWS720988:OWS720992 PGO720988:PGO720992 PQK720988:PQK720992 QAG720988:QAG720992 QKC720988:QKC720992 QTY720988:QTY720992 RDU720988:RDU720992 RNQ720988:RNQ720992 RXM720988:RXM720992 SHI720988:SHI720992 SRE720988:SRE720992 TBA720988:TBA720992 TKW720988:TKW720992 TUS720988:TUS720992 UEO720988:UEO720992 UOK720988:UOK720992 UYG720988:UYG720992 VIC720988:VIC720992 VRY720988:VRY720992 WBU720988:WBU720992 WLQ720988:WLQ720992 WVM720988:WVM720992 E786524:E786528 JA786524:JA786528 SW786524:SW786528 ACS786524:ACS786528 AMO786524:AMO786528 AWK786524:AWK786528 BGG786524:BGG786528 BQC786524:BQC786528 BZY786524:BZY786528 CJU786524:CJU786528 CTQ786524:CTQ786528 DDM786524:DDM786528 DNI786524:DNI786528 DXE786524:DXE786528 EHA786524:EHA786528 EQW786524:EQW786528 FAS786524:FAS786528 FKO786524:FKO786528 FUK786524:FUK786528 GEG786524:GEG786528 GOC786524:GOC786528 GXY786524:GXY786528 HHU786524:HHU786528 HRQ786524:HRQ786528 IBM786524:IBM786528 ILI786524:ILI786528 IVE786524:IVE786528 JFA786524:JFA786528 JOW786524:JOW786528 JYS786524:JYS786528 KIO786524:KIO786528 KSK786524:KSK786528 LCG786524:LCG786528 LMC786524:LMC786528 LVY786524:LVY786528 MFU786524:MFU786528 MPQ786524:MPQ786528 MZM786524:MZM786528 NJI786524:NJI786528 NTE786524:NTE786528 ODA786524:ODA786528 OMW786524:OMW786528 OWS786524:OWS786528 PGO786524:PGO786528 PQK786524:PQK786528 QAG786524:QAG786528 QKC786524:QKC786528 QTY786524:QTY786528 RDU786524:RDU786528 RNQ786524:RNQ786528 RXM786524:RXM786528 SHI786524:SHI786528 SRE786524:SRE786528 TBA786524:TBA786528 TKW786524:TKW786528 TUS786524:TUS786528 UEO786524:UEO786528 UOK786524:UOK786528 UYG786524:UYG786528 VIC786524:VIC786528 VRY786524:VRY786528 WBU786524:WBU786528 WLQ786524:WLQ786528 WVM786524:WVM786528 E852060:E852064 JA852060:JA852064 SW852060:SW852064 ACS852060:ACS852064 AMO852060:AMO852064 AWK852060:AWK852064 BGG852060:BGG852064 BQC852060:BQC852064 BZY852060:BZY852064 CJU852060:CJU852064 CTQ852060:CTQ852064 DDM852060:DDM852064 DNI852060:DNI852064 DXE852060:DXE852064 EHA852060:EHA852064 EQW852060:EQW852064 FAS852060:FAS852064 FKO852060:FKO852064 FUK852060:FUK852064 GEG852060:GEG852064 GOC852060:GOC852064 GXY852060:GXY852064 HHU852060:HHU852064 HRQ852060:HRQ852064 IBM852060:IBM852064 ILI852060:ILI852064 IVE852060:IVE852064 JFA852060:JFA852064 JOW852060:JOW852064 JYS852060:JYS852064 KIO852060:KIO852064 KSK852060:KSK852064 LCG852060:LCG852064 LMC852060:LMC852064 LVY852060:LVY852064 MFU852060:MFU852064 MPQ852060:MPQ852064 MZM852060:MZM852064 NJI852060:NJI852064 NTE852060:NTE852064 ODA852060:ODA852064 OMW852060:OMW852064 OWS852060:OWS852064 PGO852060:PGO852064 PQK852060:PQK852064 QAG852060:QAG852064 QKC852060:QKC852064 QTY852060:QTY852064 RDU852060:RDU852064 RNQ852060:RNQ852064 RXM852060:RXM852064 SHI852060:SHI852064 SRE852060:SRE852064 TBA852060:TBA852064 TKW852060:TKW852064 TUS852060:TUS852064 UEO852060:UEO852064 UOK852060:UOK852064 UYG852060:UYG852064 VIC852060:VIC852064 VRY852060:VRY852064 WBU852060:WBU852064 WLQ852060:WLQ852064 WVM852060:WVM852064 E917596:E917600 JA917596:JA917600 SW917596:SW917600 ACS917596:ACS917600 AMO917596:AMO917600 AWK917596:AWK917600 BGG917596:BGG917600 BQC917596:BQC917600 BZY917596:BZY917600 CJU917596:CJU917600 CTQ917596:CTQ917600 DDM917596:DDM917600 DNI917596:DNI917600 DXE917596:DXE917600 EHA917596:EHA917600 EQW917596:EQW917600 FAS917596:FAS917600 FKO917596:FKO917600 FUK917596:FUK917600 GEG917596:GEG917600 GOC917596:GOC917600 GXY917596:GXY917600 HHU917596:HHU917600 HRQ917596:HRQ917600 IBM917596:IBM917600 ILI917596:ILI917600 IVE917596:IVE917600 JFA917596:JFA917600 JOW917596:JOW917600 JYS917596:JYS917600 KIO917596:KIO917600 KSK917596:KSK917600 LCG917596:LCG917600 LMC917596:LMC917600 LVY917596:LVY917600 MFU917596:MFU917600 MPQ917596:MPQ917600 MZM917596:MZM917600 NJI917596:NJI917600 NTE917596:NTE917600 ODA917596:ODA917600 OMW917596:OMW917600 OWS917596:OWS917600 PGO917596:PGO917600 PQK917596:PQK917600 QAG917596:QAG917600 QKC917596:QKC917600 QTY917596:QTY917600 RDU917596:RDU917600 RNQ917596:RNQ917600 RXM917596:RXM917600 SHI917596:SHI917600 SRE917596:SRE917600 TBA917596:TBA917600 TKW917596:TKW917600 TUS917596:TUS917600 UEO917596:UEO917600 UOK917596:UOK917600 UYG917596:UYG917600 VIC917596:VIC917600 VRY917596:VRY917600 WBU917596:WBU917600 WLQ917596:WLQ917600 WVM917596:WVM917600 E983132:E983136 JA983132:JA983136 SW983132:SW983136 ACS983132:ACS983136 AMO983132:AMO983136 AWK983132:AWK983136 BGG983132:BGG983136 BQC983132:BQC983136 BZY983132:BZY983136 CJU983132:CJU983136 CTQ983132:CTQ983136 DDM983132:DDM983136 DNI983132:DNI983136 DXE983132:DXE983136 EHA983132:EHA983136 EQW983132:EQW983136 FAS983132:FAS983136 FKO983132:FKO983136 FUK983132:FUK983136 GEG983132:GEG983136 GOC983132:GOC983136 GXY983132:GXY983136 HHU983132:HHU983136 HRQ983132:HRQ983136 IBM983132:IBM983136 ILI983132:ILI983136 IVE983132:IVE983136 JFA983132:JFA983136 JOW983132:JOW983136 JYS983132:JYS983136 KIO983132:KIO983136 KSK983132:KSK983136 LCG983132:LCG983136 LMC983132:LMC983136 LVY983132:LVY983136 MFU983132:MFU983136 MPQ983132:MPQ983136 MZM983132:MZM983136 NJI983132:NJI983136 NTE983132:NTE983136 ODA983132:ODA983136 OMW983132:OMW983136 OWS983132:OWS983136 PGO983132:PGO983136 PQK983132:PQK983136 QAG983132:QAG983136 QKC983132:QKC983136 QTY983132:QTY983136 RDU983132:RDU983136 RNQ983132:RNQ983136 RXM983132:RXM983136 SHI983132:SHI983136 SRE983132:SRE983136 TBA983132:TBA983136 TKW983132:TKW983136 TUS983132:TUS983136 UEO983132:UEO983136 UOK983132:UOK983136 UYG983132:UYG983136 VIC983132:VIC983136 VRY983132:VRY983136 WBU983132:WBU983136 WLQ983132:WLQ983136 WVM983132:WVM983136 WVM93:WVM96 WLQ93:WLQ96 WBU93:WBU96 VRY93:VRY96 VIC93:VIC96 UYG93:UYG96 UOK93:UOK96 UEO93:UEO96 TUS93:TUS96 TKW93:TKW96 TBA93:TBA96 SRE93:SRE96 SHI93:SHI96 RXM93:RXM96 RNQ93:RNQ96 RDU93:RDU96 QTY93:QTY96 QKC93:QKC96 QAG93:QAG96 PQK93:PQK96 PGO93:PGO96 OWS93:OWS96 OMW93:OMW96 ODA93:ODA96 NTE93:NTE96 NJI93:NJI96 MZM93:MZM96 MPQ93:MPQ96 MFU93:MFU96 LVY93:LVY96 LMC93:LMC96 LCG93:LCG96 KSK93:KSK96 KIO93:KIO96 JYS93:JYS96 JOW93:JOW96 JFA93:JFA96 IVE93:IVE96 ILI93:ILI96 IBM93:IBM96 HRQ93:HRQ96 HHU93:HHU96 GXY93:GXY96 GOC93:GOC96 GEG93:GEG96 FUK93:FUK96 FKO93:FKO96 FAS93:FAS96 EQW93:EQW96 EHA93:EHA96 DXE93:DXE96 DNI93:DNI96 DDM93:DDM96 CTQ93:CTQ96 CJU93:CJU96 BZY93:BZY96 BQC93:BQC96 BGG93:BGG96 AWK93:AWK96 AMO93:AMO96 ACS93:ACS96 SW93:SW96 JA93:JA96 E93:E96">
      <formula1>"■基线,□观测项,-"</formula1>
    </dataValidation>
  </dataValidations>
  <hyperlinks>
    <hyperlink ref="C89" location="基本类!C4" tooltip="系统复杂度" display="系统复杂度"/>
    <hyperlink ref="C17" location="基本类!C15" display="项目成员平均技能系数"/>
  </hyperlink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C000"/>
  </sheetPr>
  <dimension ref="A1:AO46"/>
  <sheetViews>
    <sheetView showGridLines="0" topLeftCell="A13" zoomScaleNormal="100" workbookViewId="0">
      <selection activeCell="AH27" sqref="AH27"/>
    </sheetView>
  </sheetViews>
  <sheetFormatPr defaultRowHeight="13.5"/>
  <cols>
    <col min="1" max="1" width="9" style="3"/>
    <col min="2" max="2" width="28.75" style="3" customWidth="1"/>
    <col min="3" max="4" width="9" style="3"/>
    <col min="5" max="5" width="11.875" style="3" customWidth="1"/>
    <col min="6" max="6" width="12.875" style="3" customWidth="1"/>
    <col min="7" max="7" width="9" style="3"/>
    <col min="8" max="8" width="11.125" style="3" customWidth="1"/>
    <col min="9" max="10" width="9" style="3"/>
    <col min="11" max="11" width="9.75" style="3" customWidth="1"/>
    <col min="12" max="12" width="9.375" style="3" customWidth="1"/>
    <col min="13" max="13" width="10" style="3" customWidth="1"/>
    <col min="14" max="14" width="9.625" style="3" customWidth="1"/>
    <col min="15" max="15" width="9.875" style="3" customWidth="1"/>
    <col min="16" max="17" width="9" style="3"/>
    <col min="18" max="18" width="16.125" style="3" customWidth="1"/>
    <col min="19" max="35" width="9" style="3"/>
    <col min="36" max="37" width="9" style="3" customWidth="1"/>
    <col min="38" max="16384" width="9" style="3"/>
  </cols>
  <sheetData>
    <row r="1" spans="1:41" ht="17.25">
      <c r="A1" s="1" t="s">
        <v>409</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row>
    <row r="2" spans="1:41" ht="21">
      <c r="A2" s="4" t="s">
        <v>410</v>
      </c>
      <c r="B2" s="4" t="s">
        <v>411</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row>
    <row r="3" spans="1:41" ht="18">
      <c r="A3" s="782" t="s">
        <v>412</v>
      </c>
      <c r="B3" s="783"/>
      <c r="C3" s="783"/>
      <c r="D3" s="783"/>
      <c r="E3" s="783"/>
      <c r="F3" s="783"/>
      <c r="G3" s="783"/>
      <c r="H3" s="783"/>
      <c r="I3" s="783"/>
      <c r="J3" s="783"/>
      <c r="K3" s="783"/>
      <c r="L3" s="783"/>
      <c r="M3" s="783"/>
      <c r="N3" s="783"/>
      <c r="O3" s="783"/>
      <c r="P3" s="783"/>
      <c r="Q3" s="783"/>
      <c r="R3" s="783"/>
      <c r="S3" s="783"/>
      <c r="T3" s="783"/>
      <c r="U3" s="783"/>
      <c r="V3" s="783"/>
      <c r="W3" s="783"/>
      <c r="X3" s="783"/>
      <c r="Y3" s="783"/>
      <c r="Z3" s="783"/>
      <c r="AA3" s="783"/>
      <c r="AB3" s="783"/>
      <c r="AC3" s="783"/>
      <c r="AD3" s="783"/>
      <c r="AE3" s="783"/>
      <c r="AF3" s="783"/>
      <c r="AG3" s="783"/>
      <c r="AH3" s="783"/>
      <c r="AI3" s="783"/>
      <c r="AJ3" s="783"/>
      <c r="AK3" s="783"/>
      <c r="AL3" s="783"/>
      <c r="AM3" s="783"/>
      <c r="AN3" s="783"/>
      <c r="AO3" s="783"/>
    </row>
    <row r="4" spans="1:41">
      <c r="A4" s="784" t="s">
        <v>710</v>
      </c>
      <c r="B4" s="784"/>
      <c r="C4" s="784"/>
      <c r="D4" s="784"/>
      <c r="E4" s="784"/>
      <c r="F4" s="784"/>
      <c r="G4" s="784"/>
      <c r="H4" s="784"/>
      <c r="I4" s="784"/>
      <c r="J4" s="784"/>
      <c r="K4" s="784"/>
      <c r="L4" s="784"/>
      <c r="M4" s="784"/>
      <c r="N4" s="784"/>
      <c r="O4" s="784"/>
      <c r="P4" s="784"/>
      <c r="Q4" s="784"/>
      <c r="R4" s="784"/>
      <c r="S4" s="784"/>
      <c r="T4" s="784"/>
      <c r="U4" s="784"/>
      <c r="V4" s="784"/>
      <c r="W4" s="784"/>
      <c r="X4" s="784"/>
      <c r="Y4" s="784"/>
      <c r="Z4" s="784"/>
      <c r="AA4" s="784"/>
      <c r="AB4" s="784"/>
      <c r="AC4" s="784"/>
      <c r="AD4" s="784"/>
      <c r="AE4" s="784"/>
      <c r="AF4" s="784"/>
      <c r="AG4" s="784"/>
      <c r="AH4" s="784"/>
      <c r="AI4" s="784"/>
      <c r="AJ4" s="784"/>
      <c r="AK4" s="784"/>
      <c r="AL4" s="784"/>
      <c r="AM4" s="784"/>
      <c r="AN4" s="784"/>
      <c r="AO4" s="784"/>
    </row>
    <row r="5" spans="1:41">
      <c r="A5" s="784"/>
      <c r="B5" s="784"/>
      <c r="C5" s="784"/>
      <c r="D5" s="784"/>
      <c r="E5" s="784"/>
      <c r="F5" s="784"/>
      <c r="G5" s="784"/>
      <c r="H5" s="784"/>
      <c r="I5" s="784"/>
      <c r="J5" s="784"/>
      <c r="K5" s="784"/>
      <c r="L5" s="784"/>
      <c r="M5" s="784"/>
      <c r="N5" s="784"/>
      <c r="O5" s="784"/>
      <c r="P5" s="784"/>
      <c r="Q5" s="784"/>
      <c r="R5" s="784"/>
      <c r="S5" s="784"/>
      <c r="T5" s="784"/>
      <c r="U5" s="784"/>
      <c r="V5" s="784"/>
      <c r="W5" s="784"/>
      <c r="X5" s="784"/>
      <c r="Y5" s="784"/>
      <c r="Z5" s="784"/>
      <c r="AA5" s="784"/>
      <c r="AB5" s="784"/>
      <c r="AC5" s="784"/>
      <c r="AD5" s="784"/>
      <c r="AE5" s="784"/>
      <c r="AF5" s="784"/>
      <c r="AG5" s="784"/>
      <c r="AH5" s="784"/>
      <c r="AI5" s="784"/>
      <c r="AJ5" s="784"/>
      <c r="AK5" s="784"/>
      <c r="AL5" s="784"/>
      <c r="AM5" s="784"/>
      <c r="AN5" s="784"/>
      <c r="AO5" s="784"/>
    </row>
    <row r="6" spans="1:41">
      <c r="A6" s="784"/>
      <c r="B6" s="784"/>
      <c r="C6" s="784"/>
      <c r="D6" s="784"/>
      <c r="E6" s="784"/>
      <c r="F6" s="784"/>
      <c r="G6" s="784"/>
      <c r="H6" s="784"/>
      <c r="I6" s="784"/>
      <c r="J6" s="784"/>
      <c r="K6" s="784"/>
      <c r="L6" s="784"/>
      <c r="M6" s="784"/>
      <c r="N6" s="784"/>
      <c r="O6" s="784"/>
      <c r="P6" s="784"/>
      <c r="Q6" s="784"/>
      <c r="R6" s="784"/>
      <c r="S6" s="784"/>
      <c r="T6" s="784"/>
      <c r="U6" s="784"/>
      <c r="V6" s="784"/>
      <c r="W6" s="784"/>
      <c r="X6" s="784"/>
      <c r="Y6" s="784"/>
      <c r="Z6" s="784"/>
      <c r="AA6" s="784"/>
      <c r="AB6" s="784"/>
      <c r="AC6" s="784"/>
      <c r="AD6" s="784"/>
      <c r="AE6" s="784"/>
      <c r="AF6" s="784"/>
      <c r="AG6" s="784"/>
      <c r="AH6" s="784"/>
      <c r="AI6" s="784"/>
      <c r="AJ6" s="784"/>
      <c r="AK6" s="784"/>
      <c r="AL6" s="784"/>
      <c r="AM6" s="784"/>
      <c r="AN6" s="784"/>
      <c r="AO6" s="784"/>
    </row>
    <row r="7" spans="1:41" ht="18">
      <c r="A7" s="782" t="s">
        <v>413</v>
      </c>
      <c r="B7" s="783"/>
      <c r="C7" s="783"/>
      <c r="D7" s="783"/>
      <c r="E7" s="783"/>
      <c r="F7" s="783"/>
      <c r="G7" s="783"/>
      <c r="H7" s="783"/>
      <c r="I7" s="783"/>
      <c r="J7" s="783"/>
      <c r="K7" s="783"/>
      <c r="L7" s="783"/>
      <c r="M7" s="783"/>
      <c r="N7" s="783"/>
      <c r="O7" s="783"/>
      <c r="P7" s="783"/>
      <c r="Q7" s="783"/>
      <c r="R7" s="783"/>
      <c r="S7" s="783"/>
      <c r="T7" s="783"/>
      <c r="U7" s="783"/>
      <c r="V7" s="783"/>
      <c r="W7" s="783"/>
      <c r="X7" s="783"/>
      <c r="Y7" s="783"/>
      <c r="Z7" s="783"/>
      <c r="AA7" s="783"/>
      <c r="AB7" s="783"/>
      <c r="AC7" s="783"/>
      <c r="AD7" s="783"/>
      <c r="AE7" s="783"/>
      <c r="AF7" s="783"/>
      <c r="AG7" s="783"/>
      <c r="AH7" s="783"/>
      <c r="AI7" s="783"/>
      <c r="AJ7" s="783"/>
      <c r="AK7" s="783"/>
      <c r="AL7" s="783"/>
      <c r="AM7" s="783"/>
      <c r="AN7" s="783"/>
    </row>
    <row r="8" spans="1:41">
      <c r="A8" s="781" t="s">
        <v>951</v>
      </c>
      <c r="B8" s="781"/>
      <c r="C8" s="781"/>
      <c r="D8" s="781"/>
      <c r="E8" s="781"/>
      <c r="F8" s="781"/>
      <c r="G8" s="781"/>
      <c r="H8" s="781"/>
      <c r="I8" s="781"/>
      <c r="J8" s="781"/>
      <c r="K8" s="781"/>
      <c r="L8" s="781"/>
      <c r="M8" s="781"/>
      <c r="N8" s="781"/>
      <c r="O8" s="781"/>
      <c r="P8" s="781"/>
      <c r="Q8" s="781"/>
      <c r="R8" s="781"/>
      <c r="S8" s="781"/>
      <c r="T8" s="781"/>
      <c r="U8" s="781"/>
      <c r="V8" s="781"/>
      <c r="W8" s="781"/>
      <c r="X8" s="781"/>
      <c r="Y8" s="781"/>
      <c r="Z8" s="781"/>
      <c r="AA8" s="781"/>
      <c r="AB8" s="781"/>
      <c r="AC8" s="781"/>
      <c r="AD8" s="781"/>
      <c r="AE8" s="781"/>
      <c r="AF8" s="781"/>
      <c r="AG8" s="781"/>
      <c r="AH8" s="781"/>
      <c r="AI8" s="781"/>
      <c r="AJ8" s="781"/>
      <c r="AK8" s="781"/>
      <c r="AL8" s="781"/>
      <c r="AM8" s="781"/>
      <c r="AN8" s="781"/>
    </row>
    <row r="9" spans="1:41">
      <c r="A9" s="781"/>
      <c r="B9" s="781"/>
      <c r="C9" s="781"/>
      <c r="D9" s="781"/>
      <c r="E9" s="781"/>
      <c r="F9" s="781"/>
      <c r="G9" s="781"/>
      <c r="H9" s="781"/>
      <c r="I9" s="781"/>
      <c r="J9" s="781"/>
      <c r="K9" s="781"/>
      <c r="L9" s="781"/>
      <c r="M9" s="781"/>
      <c r="N9" s="781"/>
      <c r="O9" s="781"/>
      <c r="P9" s="781"/>
      <c r="Q9" s="781"/>
      <c r="R9" s="781"/>
      <c r="S9" s="781"/>
      <c r="T9" s="781"/>
      <c r="U9" s="781"/>
      <c r="V9" s="781"/>
      <c r="W9" s="781"/>
      <c r="X9" s="781"/>
      <c r="Y9" s="781"/>
      <c r="Z9" s="781"/>
      <c r="AA9" s="781"/>
      <c r="AB9" s="781"/>
      <c r="AC9" s="781"/>
      <c r="AD9" s="781"/>
      <c r="AE9" s="781"/>
      <c r="AF9" s="781"/>
      <c r="AG9" s="781"/>
      <c r="AH9" s="781"/>
      <c r="AI9" s="781"/>
      <c r="AJ9" s="781"/>
      <c r="AK9" s="781"/>
      <c r="AL9" s="781"/>
      <c r="AM9" s="781"/>
      <c r="AN9" s="781"/>
    </row>
    <row r="10" spans="1:41">
      <c r="A10" s="781"/>
      <c r="B10" s="781"/>
      <c r="C10" s="781"/>
      <c r="D10" s="781"/>
      <c r="E10" s="781"/>
      <c r="F10" s="781"/>
      <c r="G10" s="781"/>
      <c r="H10" s="781"/>
      <c r="I10" s="781"/>
      <c r="J10" s="781"/>
      <c r="K10" s="781"/>
      <c r="L10" s="781"/>
      <c r="M10" s="781"/>
      <c r="N10" s="781"/>
      <c r="O10" s="781"/>
      <c r="P10" s="781"/>
      <c r="Q10" s="781"/>
      <c r="R10" s="781"/>
      <c r="S10" s="781"/>
      <c r="T10" s="781"/>
      <c r="U10" s="781"/>
      <c r="V10" s="781"/>
      <c r="W10" s="781"/>
      <c r="X10" s="781"/>
      <c r="Y10" s="781"/>
      <c r="Z10" s="781"/>
      <c r="AA10" s="781"/>
      <c r="AB10" s="781"/>
      <c r="AC10" s="781"/>
      <c r="AD10" s="781"/>
      <c r="AE10" s="781"/>
      <c r="AF10" s="781"/>
      <c r="AG10" s="781"/>
      <c r="AH10" s="781"/>
      <c r="AI10" s="781"/>
      <c r="AJ10" s="781"/>
      <c r="AK10" s="781"/>
      <c r="AL10" s="781"/>
      <c r="AM10" s="781"/>
      <c r="AN10" s="781"/>
    </row>
    <row r="11" spans="1:41" ht="18">
      <c r="A11" s="782" t="s">
        <v>414</v>
      </c>
      <c r="B11" s="783"/>
      <c r="C11" s="783"/>
      <c r="D11" s="783"/>
      <c r="E11" s="783"/>
      <c r="F11" s="783"/>
      <c r="G11" s="783"/>
      <c r="H11" s="783"/>
      <c r="I11" s="783"/>
      <c r="J11" s="783"/>
      <c r="K11" s="783"/>
      <c r="L11" s="783"/>
      <c r="M11" s="783"/>
      <c r="N11" s="783"/>
      <c r="O11" s="783"/>
      <c r="P11" s="783"/>
      <c r="Q11" s="783"/>
      <c r="R11" s="783"/>
      <c r="S11" s="783"/>
      <c r="T11" s="783"/>
      <c r="U11" s="783"/>
      <c r="V11" s="783"/>
      <c r="W11" s="783"/>
      <c r="X11" s="783"/>
      <c r="Y11" s="783"/>
      <c r="Z11" s="783"/>
      <c r="AA11" s="783"/>
      <c r="AB11" s="783"/>
      <c r="AC11" s="783"/>
      <c r="AD11" s="783"/>
      <c r="AE11" s="783"/>
      <c r="AF11" s="783"/>
      <c r="AG11" s="783"/>
      <c r="AH11" s="783"/>
      <c r="AI11" s="783"/>
      <c r="AJ11" s="783"/>
      <c r="AK11" s="783"/>
      <c r="AL11" s="783"/>
      <c r="AM11" s="783"/>
      <c r="AN11" s="783"/>
    </row>
    <row r="12" spans="1:41">
      <c r="A12" s="781" t="s">
        <v>415</v>
      </c>
      <c r="B12" s="781"/>
      <c r="C12" s="781"/>
      <c r="D12" s="781"/>
      <c r="E12" s="781"/>
      <c r="F12" s="781"/>
      <c r="G12" s="781"/>
      <c r="H12" s="781"/>
      <c r="I12" s="781"/>
      <c r="J12" s="781"/>
      <c r="K12" s="781"/>
      <c r="L12" s="781"/>
      <c r="M12" s="781"/>
      <c r="N12" s="781"/>
      <c r="O12" s="781"/>
      <c r="P12" s="781"/>
      <c r="Q12" s="781"/>
      <c r="R12" s="781"/>
      <c r="S12" s="781"/>
      <c r="T12" s="781"/>
      <c r="U12" s="781"/>
      <c r="V12" s="781"/>
      <c r="W12" s="781"/>
      <c r="X12" s="781"/>
      <c r="Y12" s="781"/>
      <c r="Z12" s="781"/>
      <c r="AA12" s="781"/>
      <c r="AB12" s="781"/>
      <c r="AC12" s="781"/>
      <c r="AD12" s="781"/>
      <c r="AE12" s="781"/>
      <c r="AF12" s="781"/>
      <c r="AG12" s="781"/>
      <c r="AH12" s="781"/>
      <c r="AI12" s="781"/>
      <c r="AJ12" s="781"/>
      <c r="AK12" s="781"/>
      <c r="AL12" s="781"/>
      <c r="AM12" s="781"/>
      <c r="AN12" s="781"/>
    </row>
    <row r="13" spans="1:41">
      <c r="A13" s="781"/>
      <c r="B13" s="781"/>
      <c r="C13" s="781"/>
      <c r="D13" s="781"/>
      <c r="E13" s="781"/>
      <c r="F13" s="781"/>
      <c r="G13" s="781"/>
      <c r="H13" s="781"/>
      <c r="I13" s="781"/>
      <c r="J13" s="781"/>
      <c r="K13" s="781"/>
      <c r="L13" s="781"/>
      <c r="M13" s="781"/>
      <c r="N13" s="781"/>
      <c r="O13" s="781"/>
      <c r="P13" s="781"/>
      <c r="Q13" s="781"/>
      <c r="R13" s="781"/>
      <c r="S13" s="781"/>
      <c r="T13" s="781"/>
      <c r="U13" s="781"/>
      <c r="V13" s="781"/>
      <c r="W13" s="781"/>
      <c r="X13" s="781"/>
      <c r="Y13" s="781"/>
      <c r="Z13" s="781"/>
      <c r="AA13" s="781"/>
      <c r="AB13" s="781"/>
      <c r="AC13" s="781"/>
      <c r="AD13" s="781"/>
      <c r="AE13" s="781"/>
      <c r="AF13" s="781"/>
      <c r="AG13" s="781"/>
      <c r="AH13" s="781"/>
      <c r="AI13" s="781"/>
      <c r="AJ13" s="781"/>
      <c r="AK13" s="781"/>
      <c r="AL13" s="781"/>
      <c r="AM13" s="781"/>
      <c r="AN13" s="781"/>
    </row>
    <row r="14" spans="1:41" ht="12.75" customHeight="1">
      <c r="A14" s="781"/>
      <c r="B14" s="781"/>
      <c r="C14" s="781"/>
      <c r="D14" s="781"/>
      <c r="E14" s="781"/>
      <c r="F14" s="781"/>
      <c r="G14" s="781"/>
      <c r="H14" s="781"/>
      <c r="I14" s="781"/>
      <c r="J14" s="781"/>
      <c r="K14" s="781"/>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781"/>
      <c r="AM14" s="781"/>
      <c r="AN14" s="781"/>
    </row>
    <row r="15" spans="1:41" ht="16.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row>
    <row r="17" spans="1:38" ht="21">
      <c r="A17" s="4" t="s">
        <v>416</v>
      </c>
      <c r="B17" s="4" t="s">
        <v>417</v>
      </c>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row>
    <row r="18" spans="1:38" ht="23.25" thickBot="1">
      <c r="A18" s="6" t="s">
        <v>418</v>
      </c>
      <c r="B18" s="7"/>
      <c r="C18" s="7"/>
      <c r="D18" s="324"/>
      <c r="E18" s="324"/>
      <c r="F18" s="756"/>
      <c r="G18" s="756"/>
      <c r="H18" s="756"/>
      <c r="I18" s="756"/>
      <c r="J18" s="756"/>
      <c r="K18" s="756"/>
      <c r="L18" s="756"/>
      <c r="M18" s="756"/>
      <c r="N18" s="756"/>
      <c r="O18" s="756"/>
      <c r="P18" s="756"/>
      <c r="Q18" s="6" t="s">
        <v>419</v>
      </c>
      <c r="R18" s="7"/>
      <c r="S18" s="7"/>
      <c r="T18" s="757" t="s">
        <v>922</v>
      </c>
      <c r="U18" s="757"/>
      <c r="V18" s="757"/>
      <c r="W18" s="757"/>
      <c r="X18" s="757"/>
      <c r="Y18" s="757"/>
      <c r="Z18" s="757"/>
      <c r="AA18" s="757"/>
      <c r="AB18" s="757"/>
      <c r="AC18" s="757"/>
      <c r="AD18" s="757"/>
      <c r="AE18" s="7"/>
      <c r="AF18" s="6" t="s">
        <v>420</v>
      </c>
      <c r="AG18" s="756" t="s">
        <v>421</v>
      </c>
      <c r="AH18" s="756"/>
      <c r="AI18" s="756"/>
      <c r="AJ18" s="756"/>
      <c r="AK18" s="756"/>
      <c r="AL18" s="7"/>
    </row>
    <row r="19" spans="1:38" ht="21.75" thickBot="1">
      <c r="A19" s="758"/>
      <c r="B19" s="763" t="s">
        <v>422</v>
      </c>
      <c r="C19" s="764"/>
      <c r="D19" s="764"/>
      <c r="E19" s="764"/>
      <c r="F19" s="764"/>
      <c r="G19" s="764"/>
      <c r="H19" s="764"/>
      <c r="I19" s="764"/>
      <c r="J19" s="764"/>
      <c r="K19" s="764"/>
      <c r="L19" s="764"/>
      <c r="M19" s="764"/>
      <c r="N19" s="764"/>
      <c r="O19" s="764"/>
      <c r="P19" s="765"/>
      <c r="Q19" s="766"/>
      <c r="R19" s="770" t="s">
        <v>423</v>
      </c>
      <c r="S19" s="771"/>
      <c r="T19" s="771"/>
      <c r="U19" s="771"/>
      <c r="V19" s="771"/>
      <c r="W19" s="771"/>
      <c r="X19" s="771"/>
      <c r="Y19" s="771"/>
      <c r="Z19" s="771"/>
      <c r="AA19" s="771"/>
      <c r="AB19" s="771"/>
      <c r="AC19" s="771"/>
      <c r="AD19" s="771"/>
      <c r="AE19" s="772"/>
      <c r="AF19" s="8"/>
      <c r="AG19" s="773" t="s">
        <v>424</v>
      </c>
      <c r="AH19" s="774"/>
      <c r="AI19" s="774"/>
      <c r="AJ19" s="774"/>
      <c r="AK19" s="775"/>
      <c r="AL19" s="7"/>
    </row>
    <row r="20" spans="1:38" ht="21.75" thickBot="1">
      <c r="A20" s="759"/>
      <c r="B20" s="9"/>
      <c r="C20" s="776" t="s">
        <v>425</v>
      </c>
      <c r="D20" s="777"/>
      <c r="E20" s="777"/>
      <c r="F20" s="778"/>
      <c r="G20" s="741" t="s">
        <v>413</v>
      </c>
      <c r="H20" s="742"/>
      <c r="I20" s="741" t="s">
        <v>426</v>
      </c>
      <c r="J20" s="742"/>
      <c r="K20" s="776" t="s">
        <v>427</v>
      </c>
      <c r="L20" s="777"/>
      <c r="M20" s="777"/>
      <c r="N20" s="777"/>
      <c r="O20" s="777"/>
      <c r="P20" s="778"/>
      <c r="Q20" s="767"/>
      <c r="R20" s="321"/>
      <c r="S20" s="322"/>
      <c r="T20" s="322"/>
      <c r="U20" s="322"/>
      <c r="V20" s="322"/>
      <c r="W20" s="322"/>
      <c r="X20" s="322"/>
      <c r="Y20" s="322"/>
      <c r="Z20" s="322"/>
      <c r="AA20" s="322"/>
      <c r="AB20" s="322"/>
      <c r="AC20" s="323"/>
      <c r="AD20" s="322"/>
      <c r="AE20" s="323"/>
      <c r="AF20" s="10"/>
      <c r="AG20" s="321"/>
      <c r="AH20" s="322"/>
      <c r="AI20" s="322"/>
      <c r="AJ20" s="323"/>
      <c r="AK20" s="323"/>
      <c r="AL20" s="7"/>
    </row>
    <row r="21" spans="1:38" ht="21" thickBot="1">
      <c r="A21" s="760"/>
      <c r="B21" s="9" t="s">
        <v>428</v>
      </c>
      <c r="C21" s="776" t="s">
        <v>429</v>
      </c>
      <c r="D21" s="778"/>
      <c r="E21" s="779" t="s">
        <v>2</v>
      </c>
      <c r="F21" s="780"/>
      <c r="G21" s="741" t="s">
        <v>430</v>
      </c>
      <c r="H21" s="742"/>
      <c r="I21" s="741"/>
      <c r="J21" s="742"/>
      <c r="K21" s="11" t="s">
        <v>431</v>
      </c>
      <c r="L21" s="12"/>
      <c r="M21" s="11"/>
      <c r="N21" s="12"/>
      <c r="O21" s="11"/>
      <c r="P21" s="12"/>
      <c r="Q21" s="768"/>
      <c r="R21" s="750" t="s">
        <v>432</v>
      </c>
      <c r="S21" s="752" t="s">
        <v>433</v>
      </c>
      <c r="T21" s="754" t="s">
        <v>434</v>
      </c>
      <c r="U21" s="755"/>
      <c r="V21" s="754" t="s">
        <v>435</v>
      </c>
      <c r="W21" s="755"/>
      <c r="X21" s="747" t="s">
        <v>953</v>
      </c>
      <c r="Y21" s="748"/>
      <c r="Z21" s="747" t="s">
        <v>426</v>
      </c>
      <c r="AA21" s="748"/>
      <c r="AB21" s="747" t="s">
        <v>436</v>
      </c>
      <c r="AC21" s="748"/>
      <c r="AD21" s="747" t="s">
        <v>437</v>
      </c>
      <c r="AE21" s="748"/>
      <c r="AF21" s="13"/>
      <c r="AG21" s="14" t="s">
        <v>425</v>
      </c>
      <c r="AH21" s="14" t="s">
        <v>413</v>
      </c>
      <c r="AI21" s="14" t="s">
        <v>426</v>
      </c>
      <c r="AJ21" s="14" t="s">
        <v>438</v>
      </c>
      <c r="AK21" s="14" t="s">
        <v>427</v>
      </c>
      <c r="AL21" s="7"/>
    </row>
    <row r="22" spans="1:38" ht="21" thickBot="1">
      <c r="A22" s="760"/>
      <c r="B22" s="15" t="s">
        <v>439</v>
      </c>
      <c r="C22" s="16">
        <v>0.215164032619341</v>
      </c>
      <c r="D22" s="17">
        <v>7.2029458912676786E-2</v>
      </c>
      <c r="E22" s="18"/>
      <c r="F22" s="19"/>
      <c r="G22" s="16">
        <v>0.55000000000000004</v>
      </c>
      <c r="H22" s="17">
        <v>0.31435413836112813</v>
      </c>
      <c r="I22" s="21"/>
      <c r="J22" s="22"/>
      <c r="K22" s="18"/>
      <c r="L22" s="19"/>
      <c r="M22" s="21"/>
      <c r="N22" s="21"/>
      <c r="O22" s="21"/>
      <c r="P22" s="21"/>
      <c r="Q22" s="768"/>
      <c r="R22" s="751"/>
      <c r="S22" s="753"/>
      <c r="T22" s="23" t="s">
        <v>440</v>
      </c>
      <c r="U22" s="24" t="s">
        <v>441</v>
      </c>
      <c r="V22" s="25"/>
      <c r="W22" s="25"/>
      <c r="X22" s="23" t="s">
        <v>440</v>
      </c>
      <c r="Y22" s="24" t="s">
        <v>441</v>
      </c>
      <c r="Z22" s="23" t="s">
        <v>440</v>
      </c>
      <c r="AA22" s="24" t="s">
        <v>441</v>
      </c>
      <c r="AB22" s="23" t="s">
        <v>440</v>
      </c>
      <c r="AC22" s="24" t="s">
        <v>441</v>
      </c>
      <c r="AD22" s="23" t="s">
        <v>440</v>
      </c>
      <c r="AE22" s="24" t="s">
        <v>441</v>
      </c>
      <c r="AF22" s="13"/>
      <c r="AG22" s="26">
        <f>SUM(T24:U28)-SUM(V24:W28)</f>
        <v>0.41679738143782263</v>
      </c>
      <c r="AH22" s="26">
        <f>0.618-0.139*(X24+Y24)-0.0817*(X26+Y26)-0.107*(X27+Y27)</f>
        <v>0.41155427936580602</v>
      </c>
      <c r="AI22" s="318">
        <f xml:space="preserve"> 0.00223 + 0.282*(Z26+AA26) + 0.0599*(Z27+AA27)</f>
        <v>2.3622997290923865E-2</v>
      </c>
      <c r="AJ22" s="319">
        <f xml:space="preserve"> - 0.921 + 1.31*(AB26+AC26) + 0.0513 *(AB27+AC27)+ 0.446 *(AD27+AE27)</f>
        <v>1.1707999999999998</v>
      </c>
      <c r="AK22" s="318">
        <f>(AD28+AE28)/(AB28+AC28+AJ22)</f>
        <v>1.6622110176886955E-2</v>
      </c>
      <c r="AL22" s="7"/>
    </row>
    <row r="23" spans="1:38" ht="21" thickBot="1">
      <c r="A23" s="760"/>
      <c r="B23" s="15" t="s">
        <v>442</v>
      </c>
      <c r="C23" s="27">
        <v>0.18801776963787037</v>
      </c>
      <c r="D23" s="28">
        <v>0.10640604334345768</v>
      </c>
      <c r="E23" s="29"/>
      <c r="F23" s="28"/>
      <c r="G23" s="27">
        <v>0.41249999999999998</v>
      </c>
      <c r="H23" s="28">
        <v>0.19979498634465714</v>
      </c>
      <c r="I23" s="320"/>
      <c r="J23" s="30"/>
      <c r="K23" s="31"/>
      <c r="L23" s="32"/>
      <c r="M23" s="21"/>
      <c r="N23" s="21"/>
      <c r="O23" s="21"/>
      <c r="P23" s="21"/>
      <c r="Q23" s="768"/>
      <c r="R23" s="33"/>
      <c r="S23" s="34"/>
      <c r="T23" s="35"/>
      <c r="U23" s="36"/>
      <c r="V23" s="37"/>
      <c r="W23" s="37"/>
      <c r="X23" s="35"/>
      <c r="Y23" s="36"/>
      <c r="Z23" s="35"/>
      <c r="AA23" s="38"/>
      <c r="AB23" s="39"/>
      <c r="AC23" s="36"/>
      <c r="AD23" s="39"/>
      <c r="AE23" s="36"/>
      <c r="AF23" s="13"/>
      <c r="AG23" s="40"/>
      <c r="AH23" s="40"/>
      <c r="AI23" s="41"/>
      <c r="AJ23" s="41"/>
      <c r="AK23" s="41"/>
      <c r="AL23" s="42"/>
    </row>
    <row r="24" spans="1:38" ht="21" thickBot="1">
      <c r="A24" s="760"/>
      <c r="B24" s="43"/>
      <c r="C24" s="44"/>
      <c r="D24" s="44"/>
      <c r="E24" s="45"/>
      <c r="F24" s="45"/>
      <c r="G24" s="324"/>
      <c r="H24" s="324"/>
      <c r="I24" s="44"/>
      <c r="J24" s="46"/>
      <c r="K24" s="47"/>
      <c r="L24" s="48"/>
      <c r="M24" s="47"/>
      <c r="N24" s="48"/>
      <c r="O24" s="47"/>
      <c r="P24" s="48"/>
      <c r="Q24" s="768"/>
      <c r="R24" s="49" t="s">
        <v>443</v>
      </c>
      <c r="S24" s="50">
        <v>2</v>
      </c>
      <c r="T24" s="51">
        <f>IF(U24=0,INDEX(C22:C23,$S$24),0)</f>
        <v>0.18801776963787037</v>
      </c>
      <c r="U24" s="52">
        <v>0</v>
      </c>
      <c r="V24" s="51" t="s">
        <v>444</v>
      </c>
      <c r="W24" s="52" t="s">
        <v>444</v>
      </c>
      <c r="X24" s="51">
        <f>IF(Y24=0,INDEX(G22:G23,$S$24),0)</f>
        <v>0.41249999999999998</v>
      </c>
      <c r="Y24" s="52">
        <v>0</v>
      </c>
      <c r="Z24" s="51" t="s">
        <v>444</v>
      </c>
      <c r="AA24" s="52" t="s">
        <v>444</v>
      </c>
      <c r="AB24" s="51" t="s">
        <v>444</v>
      </c>
      <c r="AC24" s="52" t="s">
        <v>3</v>
      </c>
      <c r="AD24" s="51" t="s">
        <v>444</v>
      </c>
      <c r="AE24" s="52" t="s">
        <v>3</v>
      </c>
      <c r="AF24" s="13"/>
      <c r="AG24" s="7"/>
      <c r="AH24" s="7"/>
      <c r="AI24" s="7"/>
      <c r="AJ24" s="53"/>
      <c r="AK24" s="53"/>
      <c r="AL24" s="7"/>
    </row>
    <row r="25" spans="1:38" ht="21" thickBot="1">
      <c r="A25" s="760"/>
      <c r="B25" s="54" t="s">
        <v>445</v>
      </c>
      <c r="C25" s="741" t="s">
        <v>429</v>
      </c>
      <c r="D25" s="742"/>
      <c r="E25" s="745" t="s">
        <v>5</v>
      </c>
      <c r="F25" s="746"/>
      <c r="G25" s="743" t="s">
        <v>446</v>
      </c>
      <c r="H25" s="742"/>
      <c r="I25" s="743"/>
      <c r="J25" s="742"/>
      <c r="K25" s="749" t="s">
        <v>447</v>
      </c>
      <c r="L25" s="746"/>
      <c r="M25" s="749"/>
      <c r="N25" s="746"/>
      <c r="O25" s="749"/>
      <c r="P25" s="746"/>
      <c r="Q25" s="768"/>
      <c r="R25" s="55" t="s">
        <v>448</v>
      </c>
      <c r="S25" s="56">
        <v>3</v>
      </c>
      <c r="T25" s="57">
        <f>IF(U25=0,INDEX(C26:C28,$S$25),0)</f>
        <v>7.2628867067143554E-2</v>
      </c>
      <c r="U25" s="58">
        <v>0</v>
      </c>
      <c r="V25" s="57">
        <f>IF(W25=0,INDEX(E26:E28,S25),0)</f>
        <v>3.1376500000000002E-2</v>
      </c>
      <c r="W25" s="58">
        <v>0</v>
      </c>
      <c r="X25" s="57" t="s">
        <v>444</v>
      </c>
      <c r="Y25" s="58" t="s">
        <v>444</v>
      </c>
      <c r="Z25" s="57" t="s">
        <v>444</v>
      </c>
      <c r="AA25" s="58" t="s">
        <v>444</v>
      </c>
      <c r="AB25" s="57" t="s">
        <v>444</v>
      </c>
      <c r="AC25" s="58" t="s">
        <v>444</v>
      </c>
      <c r="AD25" s="57" t="s">
        <v>444</v>
      </c>
      <c r="AE25" s="58" t="s">
        <v>444</v>
      </c>
      <c r="AF25" s="13"/>
      <c r="AG25" s="7"/>
      <c r="AH25" s="7"/>
      <c r="AI25" s="7"/>
      <c r="AJ25" s="7"/>
      <c r="AK25" s="7"/>
      <c r="AL25" s="7"/>
    </row>
    <row r="26" spans="1:38" ht="21" thickBot="1">
      <c r="A26" s="760"/>
      <c r="B26" s="15" t="s">
        <v>449</v>
      </c>
      <c r="C26" s="16">
        <v>0.12440092500796056</v>
      </c>
      <c r="D26" s="17">
        <v>8.9607637085624733E-2</v>
      </c>
      <c r="E26" s="59">
        <v>3.1376500000000002E-2</v>
      </c>
      <c r="F26" s="17">
        <v>1.4461399999999999E-2</v>
      </c>
      <c r="G26" s="16">
        <v>0.34710524803163351</v>
      </c>
      <c r="H26" s="17">
        <v>0.11520445569136081</v>
      </c>
      <c r="I26" s="21"/>
      <c r="J26" s="22"/>
      <c r="K26" s="20"/>
      <c r="L26" s="17"/>
      <c r="M26" s="21"/>
      <c r="N26" s="21"/>
      <c r="O26" s="21"/>
      <c r="P26" s="21"/>
      <c r="Q26" s="768"/>
      <c r="R26" s="55" t="s">
        <v>450</v>
      </c>
      <c r="S26" s="56">
        <v>2</v>
      </c>
      <c r="T26" s="57">
        <f>IF(U26=0,INDEX(C32:C33,$S$26),0)</f>
        <v>0.22950131882296618</v>
      </c>
      <c r="U26" s="58">
        <v>0</v>
      </c>
      <c r="V26" s="57">
        <f>IF(W26=0,INDEX(E32:E33,S26),0)</f>
        <v>0.10050000000000001</v>
      </c>
      <c r="W26" s="58">
        <v>0</v>
      </c>
      <c r="X26" s="57">
        <f>IF(Y26=0,INDEX(G32:G33,$S$26),0)</f>
        <v>0.82499999999999996</v>
      </c>
      <c r="Y26" s="58">
        <v>0</v>
      </c>
      <c r="Z26" s="57">
        <f>IF(AA26=0,INDEX(I32:I33,$S$26),0)</f>
        <v>7.9407691861078919E-2</v>
      </c>
      <c r="AA26" s="58">
        <v>0</v>
      </c>
      <c r="AB26" s="57">
        <f>IF(AC26=0,INDEX(K32:K33,$S$26),0)</f>
        <v>0</v>
      </c>
      <c r="AC26" s="58">
        <v>0</v>
      </c>
      <c r="AD26" s="57" t="s">
        <v>444</v>
      </c>
      <c r="AE26" s="58" t="s">
        <v>3</v>
      </c>
      <c r="AF26" s="13"/>
      <c r="AG26" s="7"/>
      <c r="AH26" s="7"/>
      <c r="AI26" s="7"/>
      <c r="AJ26" s="7"/>
      <c r="AK26" s="7"/>
      <c r="AL26" s="7"/>
    </row>
    <row r="27" spans="1:38" ht="21" thickBot="1">
      <c r="A27" s="761"/>
      <c r="B27" s="15" t="s">
        <v>451</v>
      </c>
      <c r="C27" s="16">
        <v>9.2985351752694304E-2</v>
      </c>
      <c r="D27" s="17">
        <v>5.6648173350114975E-2</v>
      </c>
      <c r="E27" s="59">
        <v>3.1376500000000002E-2</v>
      </c>
      <c r="F27" s="17">
        <v>1.4461399999999999E-2</v>
      </c>
      <c r="G27" s="16">
        <v>0.31146357242357398</v>
      </c>
      <c r="H27" s="17">
        <v>0.10809315947118844</v>
      </c>
      <c r="I27" s="320"/>
      <c r="J27" s="30"/>
      <c r="K27" s="60"/>
      <c r="L27" s="61"/>
      <c r="M27" s="21"/>
      <c r="N27" s="21"/>
      <c r="O27" s="21"/>
      <c r="P27" s="21"/>
      <c r="Q27" s="768"/>
      <c r="R27" s="55" t="s">
        <v>452</v>
      </c>
      <c r="S27" s="56">
        <v>2</v>
      </c>
      <c r="T27" s="57">
        <f>IF(U27=0,INDEX(C36:C37,$S$27),0)</f>
        <v>0.1404750881799631</v>
      </c>
      <c r="U27" s="58">
        <v>0</v>
      </c>
      <c r="V27" s="57">
        <f>IF(W27=0,INDEX(E36:E37,S27),0)</f>
        <v>0.1128</v>
      </c>
      <c r="W27" s="58">
        <v>0</v>
      </c>
      <c r="X27" s="57">
        <f>IF(Y27=0,INDEX(G36:G37,$S$27),0)</f>
        <v>0.76360486574013076</v>
      </c>
      <c r="Y27" s="58">
        <v>0</v>
      </c>
      <c r="Z27" s="57">
        <f>IF(AA27=0,INDEX(I36:I37,$S$27),0)</f>
        <v>-1.6694020265448837E-2</v>
      </c>
      <c r="AA27" s="58">
        <v>0</v>
      </c>
      <c r="AB27" s="57">
        <f>IF(AC27=0,INDEX(K36:K37,$S$27),0)</f>
        <v>6</v>
      </c>
      <c r="AC27" s="58">
        <v>0</v>
      </c>
      <c r="AD27" s="57">
        <f>IF(AE27=0,INDEX(M36:M37,$S$27),0)</f>
        <v>4</v>
      </c>
      <c r="AE27" s="58">
        <v>0</v>
      </c>
      <c r="AF27" s="13"/>
      <c r="AG27" s="7"/>
      <c r="AH27" s="7"/>
      <c r="AI27" s="7"/>
      <c r="AJ27" s="7"/>
      <c r="AK27" s="7"/>
      <c r="AL27" s="7"/>
    </row>
    <row r="28" spans="1:38" ht="21" thickBot="1">
      <c r="A28" s="761"/>
      <c r="B28" s="15" t="s">
        <v>453</v>
      </c>
      <c r="C28" s="27">
        <v>7.2628867067143554E-2</v>
      </c>
      <c r="D28" s="28">
        <v>5.2815204475482026E-2</v>
      </c>
      <c r="E28" s="27">
        <v>3.1376500000000002E-2</v>
      </c>
      <c r="F28" s="28">
        <v>1.4461399999999999E-2</v>
      </c>
      <c r="G28" s="27">
        <v>0.23172338290743744</v>
      </c>
      <c r="H28" s="28">
        <v>8.2337523183394795E-2</v>
      </c>
      <c r="I28" s="62"/>
      <c r="J28" s="63"/>
      <c r="K28" s="29"/>
      <c r="L28" s="28"/>
      <c r="M28" s="21"/>
      <c r="N28" s="21"/>
      <c r="O28" s="21"/>
      <c r="P28" s="21"/>
      <c r="Q28" s="768"/>
      <c r="R28" s="55" t="s">
        <v>454</v>
      </c>
      <c r="S28" s="56">
        <v>1</v>
      </c>
      <c r="T28" s="64">
        <f>IF(U28=0,INDEX(C40:C41,$S$28),0)</f>
        <v>4.803549861830167E-2</v>
      </c>
      <c r="U28" s="65">
        <v>0</v>
      </c>
      <c r="V28" s="64">
        <f>IF(W28=0,INDEX(E40:E41,S28),0)</f>
        <v>1.7184660888422271E-2</v>
      </c>
      <c r="W28" s="65">
        <v>0</v>
      </c>
      <c r="X28" s="64" t="s">
        <v>444</v>
      </c>
      <c r="Y28" s="65" t="s">
        <v>444</v>
      </c>
      <c r="Z28" s="64">
        <f>IF(AA28=0,INDEX(I40:I41,$S$28),0)</f>
        <v>0.47253176930596286</v>
      </c>
      <c r="AA28" s="65">
        <v>0</v>
      </c>
      <c r="AB28" s="64">
        <f>IF(AC28=0,INDEX(K40:K41,$S$28),0)</f>
        <v>3.241666666666667E-2</v>
      </c>
      <c r="AC28" s="65">
        <v>0</v>
      </c>
      <c r="AD28" s="64">
        <f>IF(AE28=0,INDEX(M40:M41,$S$28),0)</f>
        <v>0.02</v>
      </c>
      <c r="AE28" s="65">
        <v>0</v>
      </c>
      <c r="AF28" s="13"/>
      <c r="AG28" s="7"/>
      <c r="AH28" s="7"/>
      <c r="AI28" s="7"/>
      <c r="AJ28" s="7"/>
      <c r="AK28" s="7"/>
      <c r="AL28" s="7"/>
    </row>
    <row r="29" spans="1:38" ht="21" thickBot="1">
      <c r="A29" s="762"/>
      <c r="B29" s="66"/>
      <c r="C29" s="67"/>
      <c r="D29" s="67"/>
      <c r="E29" s="45"/>
      <c r="F29" s="45"/>
      <c r="G29" s="324"/>
      <c r="H29" s="324"/>
      <c r="I29" s="67"/>
      <c r="J29" s="68"/>
      <c r="K29" s="67"/>
      <c r="L29" s="68"/>
      <c r="M29" s="67"/>
      <c r="N29" s="68"/>
      <c r="O29" s="67"/>
      <c r="P29" s="68"/>
      <c r="Q29" s="769"/>
      <c r="AF29" s="69"/>
      <c r="AG29" s="7"/>
      <c r="AH29" s="7"/>
      <c r="AI29" s="7"/>
      <c r="AJ29" s="7"/>
      <c r="AK29" s="7"/>
      <c r="AL29" s="7"/>
    </row>
    <row r="30" spans="1:38" ht="18">
      <c r="A30" s="7"/>
      <c r="B30" s="54" t="s">
        <v>455</v>
      </c>
      <c r="C30" s="741" t="s">
        <v>429</v>
      </c>
      <c r="D30" s="742"/>
      <c r="E30" s="745" t="s">
        <v>5</v>
      </c>
      <c r="F30" s="746"/>
      <c r="G30" s="743" t="s">
        <v>446</v>
      </c>
      <c r="H30" s="742"/>
      <c r="I30" s="743" t="s">
        <v>456</v>
      </c>
      <c r="J30" s="742"/>
      <c r="K30" s="743" t="s">
        <v>457</v>
      </c>
      <c r="L30" s="742"/>
      <c r="M30" s="743"/>
      <c r="N30" s="742"/>
      <c r="O30" s="743"/>
      <c r="P30" s="742"/>
      <c r="Q30" s="70"/>
    </row>
    <row r="31" spans="1:38" ht="17.25" thickBot="1">
      <c r="A31" s="7"/>
      <c r="B31" s="71" t="s">
        <v>458</v>
      </c>
      <c r="C31" s="20"/>
      <c r="D31" s="17"/>
      <c r="E31" s="16">
        <v>0.10050000000000001</v>
      </c>
      <c r="F31" s="17">
        <v>8.9316813780755733E-2</v>
      </c>
      <c r="G31" s="20"/>
      <c r="H31" s="17"/>
      <c r="I31" s="20"/>
      <c r="J31" s="17"/>
      <c r="K31" s="20"/>
      <c r="L31" s="17"/>
      <c r="M31" s="21"/>
      <c r="N31" s="21"/>
      <c r="O31" s="21"/>
      <c r="P31" s="21"/>
      <c r="Q31" s="70"/>
    </row>
    <row r="32" spans="1:38" ht="17.25" thickBot="1">
      <c r="A32" s="7"/>
      <c r="B32" s="71" t="s">
        <v>459</v>
      </c>
      <c r="C32" s="16">
        <v>0.28037981514262528</v>
      </c>
      <c r="D32" s="17">
        <v>0.12137138332158867</v>
      </c>
      <c r="E32" s="325">
        <v>0.10050000000000001</v>
      </c>
      <c r="F32" s="61">
        <v>8.9316813780755733E-2</v>
      </c>
      <c r="G32" s="16">
        <v>0.96250000000000002</v>
      </c>
      <c r="H32" s="17">
        <v>0.29434170837980028</v>
      </c>
      <c r="I32" s="16">
        <v>5.7174052416665583E-3</v>
      </c>
      <c r="J32" s="17">
        <v>9.1775612479415625E-2</v>
      </c>
      <c r="K32" s="325">
        <v>0.3</v>
      </c>
      <c r="L32" s="61">
        <v>0.11930091185410337</v>
      </c>
      <c r="M32" s="21"/>
      <c r="N32" s="21"/>
      <c r="O32" s="21"/>
      <c r="P32" s="21"/>
      <c r="Q32" s="744"/>
    </row>
    <row r="33" spans="1:38" ht="17.25" thickBot="1">
      <c r="A33" s="7"/>
      <c r="B33" s="15" t="s">
        <v>460</v>
      </c>
      <c r="C33" s="27">
        <v>0.22950131882296618</v>
      </c>
      <c r="D33" s="28">
        <v>9.3920163044861393E-2</v>
      </c>
      <c r="E33" s="27">
        <v>0.10050000000000001</v>
      </c>
      <c r="F33" s="28">
        <v>8.9316813780755733E-2</v>
      </c>
      <c r="G33" s="27">
        <v>0.82499999999999996</v>
      </c>
      <c r="H33" s="28">
        <v>0.24902725978636076</v>
      </c>
      <c r="I33" s="27">
        <v>7.9407691861078919E-2</v>
      </c>
      <c r="J33" s="28">
        <v>0.12546977805704826</v>
      </c>
      <c r="K33" s="29">
        <v>0</v>
      </c>
      <c r="L33" s="28">
        <v>0</v>
      </c>
      <c r="M33" s="21"/>
      <c r="N33" s="21"/>
      <c r="O33" s="21"/>
      <c r="P33" s="21"/>
      <c r="Q33" s="744"/>
    </row>
    <row r="34" spans="1:38" ht="17.25" thickBot="1">
      <c r="A34" s="7"/>
      <c r="B34" s="72"/>
      <c r="C34" s="324"/>
      <c r="D34" s="324"/>
      <c r="E34" s="45"/>
      <c r="F34" s="45"/>
      <c r="G34" s="324"/>
      <c r="H34" s="324"/>
      <c r="I34" s="324"/>
      <c r="J34" s="324"/>
      <c r="K34" s="324"/>
      <c r="L34" s="324"/>
      <c r="M34" s="67"/>
      <c r="N34" s="68"/>
      <c r="O34" s="67"/>
      <c r="P34" s="68"/>
      <c r="Q34" s="744"/>
    </row>
    <row r="35" spans="1:38" ht="18.75" thickBot="1">
      <c r="A35" s="7"/>
      <c r="B35" s="54" t="s">
        <v>461</v>
      </c>
      <c r="C35" s="741" t="s">
        <v>429</v>
      </c>
      <c r="D35" s="742"/>
      <c r="E35" s="745" t="s">
        <v>5</v>
      </c>
      <c r="F35" s="746"/>
      <c r="G35" s="743" t="s">
        <v>446</v>
      </c>
      <c r="H35" s="742"/>
      <c r="I35" s="743" t="s">
        <v>947</v>
      </c>
      <c r="J35" s="742"/>
      <c r="K35" s="743" t="s">
        <v>462</v>
      </c>
      <c r="L35" s="742"/>
      <c r="M35" s="743" t="s">
        <v>463</v>
      </c>
      <c r="N35" s="742"/>
      <c r="O35" s="743" t="s">
        <v>464</v>
      </c>
      <c r="P35" s="742"/>
      <c r="Q35" s="70"/>
    </row>
    <row r="36" spans="1:38" ht="17.25" thickBot="1">
      <c r="A36" s="7"/>
      <c r="B36" s="73" t="s">
        <v>465</v>
      </c>
      <c r="C36" s="16">
        <v>0.23389400594352144</v>
      </c>
      <c r="D36" s="17">
        <v>0.15528689019123171</v>
      </c>
      <c r="E36" s="16">
        <v>0.1128</v>
      </c>
      <c r="F36" s="17">
        <v>8.6100928028995119E-2</v>
      </c>
      <c r="G36" s="16">
        <v>0.80957050162269195</v>
      </c>
      <c r="H36" s="17">
        <v>0.23988175194838091</v>
      </c>
      <c r="I36" s="20">
        <v>0.11217354440492493</v>
      </c>
      <c r="J36" s="17">
        <v>0.1994164571392458</v>
      </c>
      <c r="K36" s="325">
        <v>14</v>
      </c>
      <c r="L36" s="61">
        <v>4.3822892040977157</v>
      </c>
      <c r="M36" s="16">
        <v>5</v>
      </c>
      <c r="N36" s="17">
        <v>1.2754518416838252</v>
      </c>
      <c r="O36" s="16">
        <v>1.9940662502539201</v>
      </c>
      <c r="P36" s="17">
        <v>0.97185618250309491</v>
      </c>
      <c r="Q36" s="70"/>
    </row>
    <row r="37" spans="1:38" ht="17.25" thickBot="1">
      <c r="A37" s="7"/>
      <c r="B37" s="73" t="s">
        <v>466</v>
      </c>
      <c r="C37" s="27">
        <v>0.1404750881799631</v>
      </c>
      <c r="D37" s="28">
        <v>9.311106158472994E-2</v>
      </c>
      <c r="E37" s="27">
        <v>0.1128</v>
      </c>
      <c r="F37" s="28">
        <v>8.6100928028995119E-2</v>
      </c>
      <c r="G37" s="27">
        <v>0.76360486574013076</v>
      </c>
      <c r="H37" s="28">
        <v>0.30540033376427095</v>
      </c>
      <c r="I37" s="29">
        <v>-1.6694020265448837E-2</v>
      </c>
      <c r="J37" s="28">
        <v>0.17407238151919002</v>
      </c>
      <c r="K37" s="27">
        <v>6</v>
      </c>
      <c r="L37" s="28">
        <v>1.5980693459416861</v>
      </c>
      <c r="M37" s="27">
        <v>4</v>
      </c>
      <c r="N37" s="28">
        <v>1.2274959083469723</v>
      </c>
      <c r="O37" s="16">
        <v>0.51202559130476877</v>
      </c>
      <c r="P37" s="17">
        <v>0.31332229188808186</v>
      </c>
      <c r="Q37" s="70"/>
      <c r="R37" s="74"/>
    </row>
    <row r="38" spans="1:38" ht="17.25" thickBot="1">
      <c r="A38" s="7"/>
      <c r="B38" s="72"/>
      <c r="C38" s="324"/>
      <c r="D38" s="324"/>
      <c r="E38" s="45"/>
      <c r="F38" s="45"/>
      <c r="G38" s="324"/>
      <c r="H38" s="324"/>
      <c r="I38" s="67"/>
      <c r="J38" s="68"/>
      <c r="K38" s="324"/>
      <c r="L38" s="324"/>
      <c r="M38" s="324"/>
      <c r="N38" s="324"/>
      <c r="O38" s="67"/>
      <c r="P38" s="68"/>
      <c r="Q38" s="70"/>
    </row>
    <row r="39" spans="1:38" ht="18.75" thickBot="1">
      <c r="A39" s="7"/>
      <c r="B39" s="75" t="s">
        <v>467</v>
      </c>
      <c r="C39" s="741" t="s">
        <v>429</v>
      </c>
      <c r="D39" s="742"/>
      <c r="E39" s="741" t="s">
        <v>5</v>
      </c>
      <c r="F39" s="742"/>
      <c r="G39" s="743" t="s">
        <v>446</v>
      </c>
      <c r="H39" s="742"/>
      <c r="I39" s="743" t="s">
        <v>456</v>
      </c>
      <c r="J39" s="742"/>
      <c r="K39" s="743" t="s">
        <v>468</v>
      </c>
      <c r="L39" s="742"/>
      <c r="M39" s="743" t="s">
        <v>469</v>
      </c>
      <c r="N39" s="742"/>
      <c r="O39" s="743"/>
      <c r="P39" s="742"/>
      <c r="Q39" s="70"/>
      <c r="R39" s="70"/>
      <c r="S39" s="70"/>
      <c r="T39" s="70"/>
      <c r="U39" s="70"/>
      <c r="V39" s="70"/>
      <c r="W39" s="70"/>
      <c r="X39" s="70"/>
      <c r="Y39" s="70"/>
      <c r="Z39" s="70"/>
      <c r="AA39" s="70"/>
      <c r="AB39" s="70"/>
      <c r="AC39" s="70"/>
      <c r="AD39" s="70"/>
      <c r="AE39" s="70"/>
      <c r="AF39" s="70"/>
      <c r="AG39" s="7"/>
      <c r="AH39" s="7"/>
      <c r="AI39" s="7"/>
      <c r="AJ39" s="7"/>
      <c r="AK39" s="7"/>
      <c r="AL39" s="7"/>
    </row>
    <row r="40" spans="1:38" ht="17.25" thickBot="1">
      <c r="A40" s="7"/>
      <c r="B40" s="73" t="s">
        <v>470</v>
      </c>
      <c r="C40" s="16">
        <v>4.803549861830167E-2</v>
      </c>
      <c r="D40" s="17">
        <v>2.679222548291604E-2</v>
      </c>
      <c r="E40" s="16">
        <v>1.7184660888422271E-2</v>
      </c>
      <c r="F40" s="17">
        <v>1.2984924628624609E-2</v>
      </c>
      <c r="G40" s="16">
        <v>0.12916399609051402</v>
      </c>
      <c r="H40" s="17">
        <v>5.1686885846281727E-2</v>
      </c>
      <c r="I40" s="16">
        <v>0.47253176930596286</v>
      </c>
      <c r="J40" s="17">
        <v>0.5</v>
      </c>
      <c r="K40" s="16">
        <v>3.241666666666667E-2</v>
      </c>
      <c r="L40" s="17">
        <v>1.177003168854686E-2</v>
      </c>
      <c r="M40" s="16">
        <v>0.02</v>
      </c>
      <c r="N40" s="17">
        <v>9.2246501820969946E-3</v>
      </c>
      <c r="O40" s="20"/>
      <c r="P40" s="17"/>
      <c r="Q40" s="70"/>
      <c r="AF40" s="70"/>
      <c r="AG40" s="7"/>
      <c r="AH40" s="7"/>
      <c r="AI40" s="7"/>
      <c r="AJ40" s="7"/>
      <c r="AK40" s="7"/>
      <c r="AL40" s="7"/>
    </row>
    <row r="41" spans="1:38" ht="17.25" thickBot="1">
      <c r="A41" s="7"/>
      <c r="B41" s="73" t="s">
        <v>471</v>
      </c>
      <c r="C41" s="27">
        <v>5.2868293334134085E-2</v>
      </c>
      <c r="D41" s="28">
        <v>1.7566367197189941E-2</v>
      </c>
      <c r="E41" s="27">
        <v>1.7184660888422271E-2</v>
      </c>
      <c r="F41" s="28">
        <v>1.2984924628624609E-2</v>
      </c>
      <c r="G41" s="27">
        <v>0.13538051814030108</v>
      </c>
      <c r="H41" s="28">
        <v>1.3733895109257092E-2</v>
      </c>
      <c r="I41" s="27">
        <v>0.25740740740740742</v>
      </c>
      <c r="J41" s="28">
        <v>0.47835401891252954</v>
      </c>
      <c r="K41" s="27">
        <v>3.3000000000000002E-2</v>
      </c>
      <c r="L41" s="28">
        <v>1.2632978723404258E-2</v>
      </c>
      <c r="M41" s="27">
        <v>0.02</v>
      </c>
      <c r="N41" s="28">
        <v>0.01</v>
      </c>
      <c r="O41" s="20"/>
      <c r="P41" s="17"/>
      <c r="Q41" s="70"/>
      <c r="AF41" s="70"/>
      <c r="AG41" s="7"/>
      <c r="AH41" s="7"/>
      <c r="AI41" s="7"/>
      <c r="AJ41" s="7"/>
      <c r="AK41" s="7"/>
      <c r="AL41" s="7"/>
    </row>
    <row r="42" spans="1:38" ht="16.5">
      <c r="A42" s="7"/>
      <c r="I42" s="324"/>
      <c r="J42" s="324"/>
      <c r="K42" s="324"/>
      <c r="L42" s="324"/>
      <c r="M42" s="324"/>
      <c r="N42" s="324"/>
      <c r="Q42" s="70"/>
      <c r="AF42" s="70"/>
      <c r="AG42" s="7"/>
      <c r="AH42" s="7"/>
      <c r="AI42" s="7"/>
      <c r="AJ42" s="7"/>
      <c r="AK42" s="7"/>
      <c r="AL42" s="7"/>
    </row>
    <row r="43" spans="1:38">
      <c r="B43" s="76"/>
      <c r="C43" s="326" t="s">
        <v>472</v>
      </c>
      <c r="D43" s="327" t="s">
        <v>473</v>
      </c>
      <c r="E43" s="328"/>
      <c r="F43" s="328"/>
      <c r="G43" s="328"/>
      <c r="H43" s="328"/>
      <c r="I43" s="328"/>
      <c r="J43" s="328"/>
      <c r="K43" s="328"/>
      <c r="L43" s="328"/>
      <c r="M43" s="328"/>
      <c r="N43" s="328"/>
      <c r="O43" s="328"/>
      <c r="P43" s="77"/>
    </row>
    <row r="44" spans="1:38">
      <c r="B44" s="78" t="s">
        <v>474</v>
      </c>
      <c r="C44" s="79" t="s">
        <v>472</v>
      </c>
      <c r="D44" s="80" t="s">
        <v>475</v>
      </c>
      <c r="E44" s="81"/>
      <c r="F44" s="81"/>
      <c r="G44" s="81"/>
      <c r="H44" s="81"/>
      <c r="I44" s="81"/>
      <c r="J44" s="81"/>
      <c r="K44" s="81"/>
      <c r="L44" s="81"/>
      <c r="M44" s="81"/>
      <c r="N44" s="81"/>
      <c r="O44" s="81"/>
      <c r="P44" s="82"/>
    </row>
    <row r="45" spans="1:38">
      <c r="B45" s="83"/>
      <c r="C45" s="84" t="s">
        <v>472</v>
      </c>
      <c r="D45" s="80" t="s">
        <v>476</v>
      </c>
      <c r="E45" s="81"/>
      <c r="F45" s="81"/>
      <c r="G45" s="81"/>
      <c r="H45" s="81"/>
      <c r="I45" s="81"/>
      <c r="J45" s="81"/>
      <c r="K45" s="81"/>
      <c r="L45" s="81"/>
      <c r="M45" s="81"/>
      <c r="N45" s="81"/>
      <c r="O45" s="81"/>
      <c r="P45" s="82"/>
    </row>
    <row r="46" spans="1:38">
      <c r="B46" s="85"/>
      <c r="C46" s="86" t="s">
        <v>472</v>
      </c>
      <c r="D46" s="87" t="s">
        <v>477</v>
      </c>
      <c r="E46" s="88"/>
      <c r="F46" s="88"/>
      <c r="G46" s="88"/>
      <c r="H46" s="88"/>
      <c r="I46" s="88"/>
      <c r="J46" s="88"/>
      <c r="K46" s="88"/>
      <c r="L46" s="88"/>
      <c r="M46" s="88"/>
      <c r="N46" s="88"/>
      <c r="O46" s="88"/>
      <c r="P46" s="329"/>
    </row>
  </sheetData>
  <mergeCells count="59">
    <mergeCell ref="A12:AN14"/>
    <mergeCell ref="A3:AO3"/>
    <mergeCell ref="A4:AO6"/>
    <mergeCell ref="A7:AN7"/>
    <mergeCell ref="A8:AN10"/>
    <mergeCell ref="A11:AN11"/>
    <mergeCell ref="F18:P18"/>
    <mergeCell ref="T18:AD18"/>
    <mergeCell ref="AG18:AK18"/>
    <mergeCell ref="A19:A29"/>
    <mergeCell ref="B19:P19"/>
    <mergeCell ref="Q19:Q29"/>
    <mergeCell ref="R19:AE19"/>
    <mergeCell ref="AG19:AK19"/>
    <mergeCell ref="C20:F20"/>
    <mergeCell ref="G20:H20"/>
    <mergeCell ref="I20:J20"/>
    <mergeCell ref="K20:P20"/>
    <mergeCell ref="C21:D21"/>
    <mergeCell ref="E21:F21"/>
    <mergeCell ref="G21:H21"/>
    <mergeCell ref="I21:J21"/>
    <mergeCell ref="M30:N30"/>
    <mergeCell ref="AB21:AC21"/>
    <mergeCell ref="AD21:AE21"/>
    <mergeCell ref="C25:D25"/>
    <mergeCell ref="E25:F25"/>
    <mergeCell ref="G25:H25"/>
    <mergeCell ref="I25:J25"/>
    <mergeCell ref="K25:L25"/>
    <mergeCell ref="M25:N25"/>
    <mergeCell ref="O25:P25"/>
    <mergeCell ref="R21:R22"/>
    <mergeCell ref="S21:S22"/>
    <mergeCell ref="T21:U21"/>
    <mergeCell ref="V21:W21"/>
    <mergeCell ref="X21:Y21"/>
    <mergeCell ref="Z21:AA21"/>
    <mergeCell ref="M39:N39"/>
    <mergeCell ref="O39:P39"/>
    <mergeCell ref="O30:P30"/>
    <mergeCell ref="Q32:Q34"/>
    <mergeCell ref="C35:D35"/>
    <mergeCell ref="E35:F35"/>
    <mergeCell ref="G35:H35"/>
    <mergeCell ref="I35:J35"/>
    <mergeCell ref="K35:L35"/>
    <mergeCell ref="M35:N35"/>
    <mergeCell ref="O35:P35"/>
    <mergeCell ref="C30:D30"/>
    <mergeCell ref="E30:F30"/>
    <mergeCell ref="G30:H30"/>
    <mergeCell ref="I30:J30"/>
    <mergeCell ref="K30:L30"/>
    <mergeCell ref="C39:D39"/>
    <mergeCell ref="E39:F39"/>
    <mergeCell ref="G39:H39"/>
    <mergeCell ref="I39:J39"/>
    <mergeCell ref="K39:L39"/>
  </mergeCells>
  <phoneticPr fontId="4" type="noConversion"/>
  <conditionalFormatting sqref="T24:T28 X24:X28 AD24:AD27">
    <cfRule type="cellIs" dxfId="42" priority="9" stopIfTrue="1" operator="equal">
      <formula>0</formula>
    </cfRule>
  </conditionalFormatting>
  <conditionalFormatting sqref="V27:V28">
    <cfRule type="cellIs" dxfId="41" priority="5" stopIfTrue="1" operator="equal">
      <formula>0</formula>
    </cfRule>
  </conditionalFormatting>
  <conditionalFormatting sqref="V24">
    <cfRule type="cellIs" dxfId="40" priority="8" stopIfTrue="1" operator="equal">
      <formula>0</formula>
    </cfRule>
  </conditionalFormatting>
  <conditionalFormatting sqref="V25">
    <cfRule type="cellIs" dxfId="39" priority="7" stopIfTrue="1" operator="equal">
      <formula>0</formula>
    </cfRule>
  </conditionalFormatting>
  <conditionalFormatting sqref="V26">
    <cfRule type="cellIs" dxfId="38" priority="6" stopIfTrue="1" operator="equal">
      <formula>0</formula>
    </cfRule>
  </conditionalFormatting>
  <conditionalFormatting sqref="AB24:AB27">
    <cfRule type="cellIs" dxfId="37" priority="4" stopIfTrue="1" operator="equal">
      <formula>0</formula>
    </cfRule>
  </conditionalFormatting>
  <conditionalFormatting sqref="AB28">
    <cfRule type="cellIs" dxfId="36" priority="3" stopIfTrue="1" operator="equal">
      <formula>0</formula>
    </cfRule>
  </conditionalFormatting>
  <conditionalFormatting sqref="AD28">
    <cfRule type="cellIs" dxfId="35" priority="2" stopIfTrue="1" operator="equal">
      <formula>0</formula>
    </cfRule>
  </conditionalFormatting>
  <conditionalFormatting sqref="Z24:Z28">
    <cfRule type="cellIs" dxfId="34" priority="1" stopIfTrue="1" operator="equal">
      <formula>0</formula>
    </cfRule>
  </conditionalFormatting>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X14"/>
  <sheetViews>
    <sheetView workbookViewId="0">
      <selection activeCell="H11" sqref="H11"/>
    </sheetView>
  </sheetViews>
  <sheetFormatPr defaultRowHeight="13.5"/>
  <cols>
    <col min="2" max="2" width="9" customWidth="1"/>
    <col min="4" max="4" width="7.25" customWidth="1"/>
    <col min="5" max="5" width="7.5" customWidth="1"/>
    <col min="6" max="6" width="10.5" customWidth="1"/>
    <col min="7" max="7" width="7.375" customWidth="1"/>
    <col min="9" max="11" width="9.75" customWidth="1"/>
    <col min="12" max="16" width="5.125" customWidth="1"/>
    <col min="17" max="17" width="10.25" customWidth="1"/>
    <col min="23" max="23" width="10.625" customWidth="1"/>
    <col min="24" max="24" width="31.75" customWidth="1"/>
  </cols>
  <sheetData>
    <row r="1" spans="1:24" ht="18.75" customHeight="1">
      <c r="A1" s="791" t="s">
        <v>481</v>
      </c>
      <c r="B1" s="792"/>
      <c r="C1" s="792"/>
      <c r="D1" s="792"/>
      <c r="E1" s="792"/>
      <c r="F1" s="792"/>
      <c r="G1" s="792"/>
      <c r="H1" s="792"/>
      <c r="I1" s="792"/>
      <c r="J1" s="792"/>
      <c r="K1" s="792"/>
      <c r="L1" s="792"/>
      <c r="M1" s="792"/>
      <c r="N1" s="792"/>
      <c r="O1" s="792"/>
      <c r="P1" s="792"/>
      <c r="Q1" s="792"/>
      <c r="R1" s="792"/>
      <c r="S1" s="792"/>
      <c r="T1" s="333"/>
      <c r="U1" s="795"/>
      <c r="V1" s="795"/>
      <c r="W1" s="795"/>
      <c r="X1" s="796"/>
    </row>
    <row r="2" spans="1:24" ht="18.75" customHeight="1">
      <c r="A2" s="788" t="s">
        <v>493</v>
      </c>
      <c r="B2" s="789"/>
      <c r="C2" s="789"/>
      <c r="D2" s="789"/>
      <c r="E2" s="789"/>
      <c r="F2" s="789"/>
      <c r="G2" s="789"/>
      <c r="H2" s="789"/>
      <c r="I2" s="789"/>
      <c r="J2" s="789"/>
      <c r="K2" s="790"/>
      <c r="L2" s="793" t="s">
        <v>931</v>
      </c>
      <c r="M2" s="794"/>
      <c r="N2" s="794"/>
      <c r="O2" s="794"/>
      <c r="P2" s="794"/>
      <c r="Q2" s="794"/>
      <c r="R2" s="794"/>
      <c r="S2" s="794"/>
      <c r="T2" s="794"/>
      <c r="U2" s="794"/>
      <c r="V2" s="794"/>
      <c r="W2" s="794"/>
      <c r="X2" s="794"/>
    </row>
    <row r="3" spans="1:24" ht="24" customHeight="1">
      <c r="A3" s="150" t="s">
        <v>110</v>
      </c>
      <c r="B3" s="150" t="s">
        <v>491</v>
      </c>
      <c r="C3" s="150" t="s">
        <v>124</v>
      </c>
      <c r="D3" s="150" t="s">
        <v>482</v>
      </c>
      <c r="E3" s="150" t="s">
        <v>479</v>
      </c>
      <c r="F3" s="150" t="s">
        <v>492</v>
      </c>
      <c r="G3" s="150" t="s">
        <v>480</v>
      </c>
      <c r="H3" s="150" t="s">
        <v>120</v>
      </c>
      <c r="I3" s="150" t="s">
        <v>484</v>
      </c>
      <c r="J3" s="150" t="s">
        <v>486</v>
      </c>
      <c r="K3" s="150" t="s">
        <v>485</v>
      </c>
      <c r="L3" s="785" t="s">
        <v>907</v>
      </c>
      <c r="M3" s="786"/>
      <c r="N3" s="786"/>
      <c r="O3" s="786"/>
      <c r="P3" s="787"/>
      <c r="Q3" s="335" t="s">
        <v>709</v>
      </c>
      <c r="R3" s="335" t="s">
        <v>487</v>
      </c>
      <c r="S3" s="335" t="s">
        <v>488</v>
      </c>
      <c r="T3" s="335" t="s">
        <v>489</v>
      </c>
      <c r="U3" s="335" t="s">
        <v>483</v>
      </c>
      <c r="V3" s="335" t="s">
        <v>490</v>
      </c>
      <c r="W3" s="335" t="s">
        <v>908</v>
      </c>
      <c r="X3" s="335" t="s">
        <v>927</v>
      </c>
    </row>
    <row r="4" spans="1:24" ht="84">
      <c r="A4" s="143" t="s">
        <v>101</v>
      </c>
      <c r="B4" s="143" t="s">
        <v>711</v>
      </c>
      <c r="C4" s="143">
        <v>43.7</v>
      </c>
      <c r="D4" s="143">
        <v>476.8</v>
      </c>
      <c r="E4" s="143">
        <v>76</v>
      </c>
      <c r="F4" s="143">
        <v>7</v>
      </c>
      <c r="G4" s="478">
        <v>9.1999999999999998E-2</v>
      </c>
      <c r="H4" s="143">
        <v>0.2626</v>
      </c>
      <c r="I4" s="143">
        <v>154</v>
      </c>
      <c r="J4" s="143">
        <v>4</v>
      </c>
      <c r="K4" s="143">
        <v>8</v>
      </c>
      <c r="L4" s="141">
        <v>1</v>
      </c>
      <c r="M4" s="141">
        <v>2</v>
      </c>
      <c r="N4" s="141">
        <v>1</v>
      </c>
      <c r="O4" s="141">
        <v>1</v>
      </c>
      <c r="P4" s="141">
        <v>1</v>
      </c>
      <c r="Q4" s="631">
        <v>0.62</v>
      </c>
      <c r="R4" s="479">
        <v>0.58020000000000005</v>
      </c>
      <c r="S4" s="479">
        <v>0.35730000000000001</v>
      </c>
      <c r="T4" s="479">
        <v>1.03E-2</v>
      </c>
      <c r="U4" s="479">
        <v>1.5887</v>
      </c>
      <c r="V4" s="479">
        <v>6.3899999999999998E-2</v>
      </c>
      <c r="W4" s="479" t="s">
        <v>925</v>
      </c>
      <c r="X4" s="641" t="s">
        <v>928</v>
      </c>
    </row>
    <row r="5" spans="1:24" ht="132">
      <c r="A5" s="147" t="s">
        <v>100</v>
      </c>
      <c r="B5" s="147" t="s">
        <v>923</v>
      </c>
      <c r="C5" s="143">
        <v>43.7</v>
      </c>
      <c r="D5" s="143">
        <v>476.8</v>
      </c>
      <c r="E5" s="143">
        <v>76</v>
      </c>
      <c r="F5" s="143">
        <v>7</v>
      </c>
      <c r="G5" s="478">
        <v>9.1999999999999998E-2</v>
      </c>
      <c r="H5" s="143">
        <v>0.2626</v>
      </c>
      <c r="I5" s="143">
        <v>154</v>
      </c>
      <c r="J5" s="143">
        <v>4</v>
      </c>
      <c r="K5" s="143">
        <v>8</v>
      </c>
      <c r="L5" s="141">
        <v>1</v>
      </c>
      <c r="M5" s="141">
        <v>2</v>
      </c>
      <c r="N5" s="141">
        <v>1</v>
      </c>
      <c r="O5" s="141">
        <v>1</v>
      </c>
      <c r="P5" s="141">
        <v>1</v>
      </c>
      <c r="Q5" s="632">
        <v>0.83</v>
      </c>
      <c r="R5" s="479">
        <v>0.58020000000000005</v>
      </c>
      <c r="S5" s="479">
        <v>0.35730000000000001</v>
      </c>
      <c r="T5" s="479">
        <v>1.03E-2</v>
      </c>
      <c r="U5" s="479">
        <v>1.5887</v>
      </c>
      <c r="V5" s="479">
        <v>6.3899999999999998E-2</v>
      </c>
      <c r="W5" s="144" t="s">
        <v>926</v>
      </c>
      <c r="X5" s="642" t="s">
        <v>929</v>
      </c>
    </row>
    <row r="6" spans="1:24" ht="60">
      <c r="A6" s="143" t="s">
        <v>99</v>
      </c>
      <c r="B6" s="143" t="s">
        <v>924</v>
      </c>
      <c r="C6" s="143">
        <v>43.7</v>
      </c>
      <c r="D6" s="143">
        <v>476.8</v>
      </c>
      <c r="E6" s="143">
        <v>76</v>
      </c>
      <c r="F6" s="143">
        <v>7</v>
      </c>
      <c r="G6" s="478">
        <v>9.1999999999999998E-2</v>
      </c>
      <c r="H6" s="143">
        <v>0.2626</v>
      </c>
      <c r="I6" s="143">
        <v>154</v>
      </c>
      <c r="J6" s="143">
        <v>4</v>
      </c>
      <c r="K6" s="143">
        <v>8</v>
      </c>
      <c r="L6" s="141">
        <v>1</v>
      </c>
      <c r="M6" s="141">
        <v>2</v>
      </c>
      <c r="N6" s="141">
        <v>1</v>
      </c>
      <c r="O6" s="141">
        <v>1</v>
      </c>
      <c r="P6" s="141">
        <v>1</v>
      </c>
      <c r="Q6" s="631">
        <v>0.91</v>
      </c>
      <c r="R6" s="479">
        <v>0.58020000000000005</v>
      </c>
      <c r="S6" s="479">
        <v>0.35730000000000001</v>
      </c>
      <c r="T6" s="479">
        <v>1.03E-2</v>
      </c>
      <c r="U6" s="479">
        <v>1.5887</v>
      </c>
      <c r="V6" s="479">
        <v>6.3899999999999998E-2</v>
      </c>
      <c r="W6" s="479" t="s">
        <v>926</v>
      </c>
      <c r="X6" s="641" t="s">
        <v>930</v>
      </c>
    </row>
    <row r="7" spans="1:24">
      <c r="A7" s="147"/>
      <c r="B7" s="147"/>
      <c r="C7" s="146"/>
      <c r="D7" s="146"/>
      <c r="E7" s="146"/>
      <c r="F7" s="146"/>
      <c r="G7" s="146"/>
      <c r="H7" s="146"/>
      <c r="I7" s="146"/>
      <c r="J7" s="146"/>
      <c r="K7" s="146"/>
      <c r="L7" s="144"/>
      <c r="M7" s="144"/>
      <c r="N7" s="144"/>
      <c r="O7" s="144"/>
      <c r="P7" s="144"/>
      <c r="Q7" s="632"/>
      <c r="R7" s="144"/>
      <c r="S7" s="144"/>
      <c r="T7" s="144"/>
      <c r="U7" s="144"/>
      <c r="V7" s="144"/>
      <c r="W7" s="144"/>
      <c r="X7" s="144"/>
    </row>
    <row r="8" spans="1:24">
      <c r="A8" s="143"/>
      <c r="B8" s="143"/>
      <c r="C8" s="143"/>
      <c r="D8" s="143"/>
      <c r="E8" s="143"/>
      <c r="F8" s="143"/>
      <c r="G8" s="143"/>
      <c r="H8" s="143"/>
      <c r="I8" s="143"/>
      <c r="J8" s="143"/>
      <c r="K8" s="143"/>
      <c r="L8" s="141"/>
      <c r="M8" s="141"/>
      <c r="N8" s="141"/>
      <c r="O8" s="141"/>
      <c r="P8" s="141"/>
      <c r="Q8" s="631"/>
      <c r="R8" s="141"/>
      <c r="S8" s="141"/>
      <c r="T8" s="141"/>
      <c r="U8" s="141"/>
      <c r="V8" s="141"/>
      <c r="W8" s="479"/>
      <c r="X8" s="479"/>
    </row>
    <row r="9" spans="1:24">
      <c r="A9" s="147"/>
      <c r="B9" s="147"/>
      <c r="C9" s="146"/>
      <c r="D9" s="146"/>
      <c r="E9" s="146"/>
      <c r="F9" s="146"/>
      <c r="G9" s="146"/>
      <c r="H9" s="146"/>
      <c r="I9" s="146"/>
      <c r="J9" s="146"/>
      <c r="K9" s="146"/>
      <c r="L9" s="144"/>
      <c r="M9" s="144"/>
      <c r="N9" s="144"/>
      <c r="O9" s="144"/>
      <c r="P9" s="144"/>
      <c r="Q9" s="632"/>
      <c r="R9" s="144"/>
      <c r="S9" s="144"/>
      <c r="T9" s="144"/>
      <c r="U9" s="144"/>
      <c r="V9" s="144"/>
      <c r="W9" s="144"/>
      <c r="X9" s="144"/>
    </row>
    <row r="10" spans="1:24">
      <c r="A10" s="143"/>
      <c r="B10" s="143"/>
      <c r="C10" s="143"/>
      <c r="D10" s="143"/>
      <c r="E10" s="143"/>
      <c r="F10" s="143"/>
      <c r="G10" s="143"/>
      <c r="H10" s="143"/>
      <c r="I10" s="143"/>
      <c r="J10" s="143"/>
      <c r="K10" s="143"/>
      <c r="L10" s="141"/>
      <c r="M10" s="141"/>
      <c r="N10" s="141"/>
      <c r="O10" s="141"/>
      <c r="P10" s="141"/>
      <c r="Q10" s="631"/>
      <c r="R10" s="141"/>
      <c r="S10" s="141"/>
      <c r="T10" s="141"/>
      <c r="U10" s="141"/>
      <c r="V10" s="141"/>
      <c r="W10" s="479"/>
      <c r="X10" s="479"/>
    </row>
    <row r="11" spans="1:24">
      <c r="A11" s="147"/>
      <c r="B11" s="147"/>
      <c r="C11" s="146"/>
      <c r="D11" s="146"/>
      <c r="E11" s="146"/>
      <c r="F11" s="146"/>
      <c r="G11" s="146"/>
      <c r="H11" s="146"/>
      <c r="I11" s="146"/>
      <c r="J11" s="146"/>
      <c r="K11" s="146"/>
      <c r="L11" s="144"/>
      <c r="M11" s="144"/>
      <c r="N11" s="144"/>
      <c r="O11" s="144"/>
      <c r="P11" s="144"/>
      <c r="Q11" s="632"/>
      <c r="R11" s="144"/>
      <c r="S11" s="144"/>
      <c r="T11" s="144"/>
      <c r="U11" s="144"/>
      <c r="V11" s="144"/>
      <c r="W11" s="144"/>
      <c r="X11" s="144"/>
    </row>
    <row r="12" spans="1:24">
      <c r="A12" s="143"/>
      <c r="B12" s="143"/>
      <c r="C12" s="143"/>
      <c r="D12" s="143"/>
      <c r="E12" s="143"/>
      <c r="F12" s="143"/>
      <c r="G12" s="143"/>
      <c r="H12" s="143"/>
      <c r="I12" s="143"/>
      <c r="J12" s="143"/>
      <c r="K12" s="143"/>
      <c r="L12" s="141"/>
      <c r="M12" s="141"/>
      <c r="N12" s="141"/>
      <c r="O12" s="141"/>
      <c r="P12" s="141"/>
      <c r="Q12" s="631"/>
      <c r="R12" s="141"/>
      <c r="S12" s="141"/>
      <c r="T12" s="141"/>
      <c r="U12" s="141"/>
      <c r="V12" s="141"/>
      <c r="W12" s="479"/>
      <c r="X12" s="479"/>
    </row>
    <row r="13" spans="1:24">
      <c r="A13" s="147"/>
      <c r="B13" s="147"/>
      <c r="C13" s="146"/>
      <c r="D13" s="146"/>
      <c r="E13" s="146"/>
      <c r="F13" s="146"/>
      <c r="G13" s="146"/>
      <c r="H13" s="146"/>
      <c r="I13" s="146"/>
      <c r="J13" s="146"/>
      <c r="K13" s="146"/>
      <c r="L13" s="144"/>
      <c r="M13" s="144"/>
      <c r="N13" s="144"/>
      <c r="O13" s="144"/>
      <c r="P13" s="144"/>
      <c r="Q13" s="632"/>
      <c r="R13" s="144"/>
      <c r="S13" s="144"/>
      <c r="T13" s="144"/>
      <c r="U13" s="144"/>
      <c r="V13" s="144"/>
      <c r="W13" s="144"/>
      <c r="X13" s="144"/>
    </row>
    <row r="14" spans="1:24">
      <c r="A14" s="143"/>
      <c r="B14" s="143"/>
      <c r="C14" s="143"/>
      <c r="D14" s="143"/>
      <c r="E14" s="143"/>
      <c r="F14" s="143"/>
      <c r="G14" s="143"/>
      <c r="H14" s="143"/>
      <c r="I14" s="143"/>
      <c r="J14" s="143"/>
      <c r="K14" s="143"/>
      <c r="L14" s="141"/>
      <c r="M14" s="141"/>
      <c r="N14" s="141"/>
      <c r="O14" s="141"/>
      <c r="P14" s="141"/>
      <c r="Q14" s="631"/>
      <c r="R14" s="141"/>
      <c r="S14" s="141"/>
      <c r="T14" s="141"/>
      <c r="U14" s="141"/>
      <c r="V14" s="141"/>
      <c r="W14" s="479"/>
      <c r="X14" s="479"/>
    </row>
  </sheetData>
  <mergeCells count="5">
    <mergeCell ref="L3:P3"/>
    <mergeCell ref="A2:K2"/>
    <mergeCell ref="A1:S1"/>
    <mergeCell ref="L2:X2"/>
    <mergeCell ref="U1:X1"/>
  </mergeCells>
  <phoneticPr fontId="4" type="noConversion"/>
  <dataValidations count="2">
    <dataValidation type="list" allowBlank="1" showInputMessage="1" showErrorMessage="1" sqref="B4:B14">
      <formula1>"预估算,确定性估算,变更,需求阶段里程碑结束,设计阶段里程碑,编码阶段里程碑,测试阶段里程碑"</formula1>
    </dataValidation>
    <dataValidation type="list" allowBlank="1" showInputMessage="1" showErrorMessage="1" sqref="W4:W14">
      <formula1>"接受,拒绝"</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O20"/>
  <sheetViews>
    <sheetView workbookViewId="0">
      <selection activeCell="G4" sqref="G4"/>
    </sheetView>
  </sheetViews>
  <sheetFormatPr defaultColWidth="9" defaultRowHeight="14.25"/>
  <cols>
    <col min="1" max="1" width="10.625" style="140" customWidth="1"/>
    <col min="2" max="2" width="12.25" style="139" customWidth="1"/>
    <col min="3" max="3" width="10.5" style="139" customWidth="1"/>
    <col min="4" max="4" width="14.625" style="139" customWidth="1"/>
    <col min="5" max="5" width="14.75" style="139" customWidth="1"/>
    <col min="6" max="7" width="16.125" style="139" bestFit="1" customWidth="1"/>
    <col min="8" max="9" width="11.5" style="139" customWidth="1"/>
    <col min="10" max="10" width="7.625" style="139" bestFit="1" customWidth="1"/>
    <col min="11" max="11" width="10.25" style="139" customWidth="1"/>
    <col min="12" max="12" width="8.625" style="139" customWidth="1"/>
    <col min="13" max="13" width="9" style="139"/>
    <col min="14" max="14" width="1.875" style="139" customWidth="1"/>
    <col min="15" max="15" width="76.875" style="139" customWidth="1"/>
    <col min="16" max="16384" width="9" style="139"/>
  </cols>
  <sheetData>
    <row r="1" spans="1:15" ht="33" customHeight="1">
      <c r="A1" s="800" t="s">
        <v>125</v>
      </c>
      <c r="B1" s="801"/>
      <c r="C1" s="801"/>
      <c r="D1" s="801"/>
      <c r="E1" s="801"/>
      <c r="F1" s="801"/>
      <c r="G1" s="801"/>
      <c r="H1" s="801"/>
      <c r="I1" s="801"/>
    </row>
    <row r="2" spans="1:15" ht="24" customHeight="1">
      <c r="A2" s="802" t="s">
        <v>712</v>
      </c>
      <c r="B2" s="803"/>
      <c r="C2" s="803"/>
      <c r="D2" s="803"/>
      <c r="E2" s="803"/>
      <c r="F2" s="803"/>
      <c r="G2" s="803"/>
      <c r="H2" s="803"/>
      <c r="I2" s="803"/>
      <c r="K2" s="151" t="s">
        <v>118</v>
      </c>
      <c r="L2" s="806" t="s">
        <v>120</v>
      </c>
      <c r="M2" s="807"/>
      <c r="O2" s="797" t="s">
        <v>944</v>
      </c>
    </row>
    <row r="3" spans="1:15" ht="30" customHeight="1">
      <c r="A3" s="334" t="s">
        <v>110</v>
      </c>
      <c r="B3" s="334" t="s">
        <v>109</v>
      </c>
      <c r="C3" s="334" t="s">
        <v>124</v>
      </c>
      <c r="D3" s="334" t="s">
        <v>123</v>
      </c>
      <c r="E3" s="334" t="s">
        <v>122</v>
      </c>
      <c r="F3" s="334" t="s">
        <v>121</v>
      </c>
      <c r="G3" s="334" t="s">
        <v>495</v>
      </c>
      <c r="H3" s="334" t="s">
        <v>496</v>
      </c>
      <c r="I3" s="336" t="s">
        <v>497</v>
      </c>
      <c r="K3" s="149" t="s">
        <v>104</v>
      </c>
      <c r="L3" s="149" t="s">
        <v>103</v>
      </c>
      <c r="M3" s="149" t="s">
        <v>102</v>
      </c>
      <c r="O3" s="798"/>
    </row>
    <row r="4" spans="1:15" ht="14.25" customHeight="1">
      <c r="A4" s="143" t="s">
        <v>101</v>
      </c>
      <c r="B4" s="143" t="s">
        <v>494</v>
      </c>
      <c r="C4" s="143">
        <v>125.2</v>
      </c>
      <c r="D4" s="143">
        <v>0.57110000000000005</v>
      </c>
      <c r="E4" s="143">
        <v>0.95209999999999995</v>
      </c>
      <c r="F4" s="143">
        <v>1.3331</v>
      </c>
      <c r="G4" s="142">
        <f xml:space="preserve"> 0.618 - 0.139*D4 - 0.0817* E4 - 0.107* F4</f>
        <v>0.31818882999999998</v>
      </c>
      <c r="H4" s="141">
        <f>C4/G4</f>
        <v>393.47704317590285</v>
      </c>
      <c r="I4" s="143">
        <v>476.8</v>
      </c>
      <c r="K4" s="148">
        <v>7.9699999999999993E-2</v>
      </c>
      <c r="L4" s="148">
        <v>0.34089999999999998</v>
      </c>
      <c r="M4" s="148">
        <v>0.60219999999999996</v>
      </c>
      <c r="O4" s="798"/>
    </row>
    <row r="5" spans="1:15">
      <c r="A5" s="147" t="s">
        <v>100</v>
      </c>
      <c r="B5" s="146" t="s">
        <v>98</v>
      </c>
      <c r="C5" s="146"/>
      <c r="D5" s="146"/>
      <c r="E5" s="146"/>
      <c r="F5" s="146"/>
      <c r="G5" s="145"/>
      <c r="H5" s="144" t="e">
        <f>C5/G5</f>
        <v>#DIV/0!</v>
      </c>
      <c r="I5" s="146"/>
      <c r="O5" s="798"/>
    </row>
    <row r="6" spans="1:15">
      <c r="A6" s="143" t="s">
        <v>99</v>
      </c>
      <c r="B6" s="143" t="s">
        <v>98</v>
      </c>
      <c r="C6" s="143"/>
      <c r="D6" s="143"/>
      <c r="E6" s="143"/>
      <c r="F6" s="143"/>
      <c r="G6" s="142"/>
      <c r="H6" s="141" t="e">
        <f>C6/G6</f>
        <v>#DIV/0!</v>
      </c>
      <c r="I6" s="143"/>
    </row>
    <row r="8" spans="1:15" ht="19.5" customHeight="1">
      <c r="A8" s="791" t="s">
        <v>113</v>
      </c>
      <c r="B8" s="792"/>
      <c r="C8" s="792"/>
      <c r="D8" s="792"/>
      <c r="E8" s="792"/>
      <c r="F8" s="792"/>
      <c r="G8" s="792"/>
      <c r="H8" s="792"/>
    </row>
    <row r="9" spans="1:15" ht="20.25" customHeight="1">
      <c r="A9" s="808" t="s">
        <v>119</v>
      </c>
      <c r="B9" s="809"/>
      <c r="C9" s="809"/>
      <c r="D9" s="809"/>
      <c r="E9" s="809"/>
      <c r="F9" s="809"/>
      <c r="G9" s="809"/>
      <c r="H9" s="809"/>
      <c r="J9" s="151" t="s">
        <v>337</v>
      </c>
      <c r="K9" s="806" t="s">
        <v>335</v>
      </c>
      <c r="L9" s="807"/>
      <c r="O9" s="797" t="s">
        <v>945</v>
      </c>
    </row>
    <row r="10" spans="1:15" ht="30.75" customHeight="1">
      <c r="A10" s="150" t="s">
        <v>110</v>
      </c>
      <c r="B10" s="150" t="s">
        <v>109</v>
      </c>
      <c r="C10" s="150" t="s">
        <v>117</v>
      </c>
      <c r="D10" s="150" t="s">
        <v>116</v>
      </c>
      <c r="E10" s="150" t="s">
        <v>115</v>
      </c>
      <c r="F10" s="150" t="s">
        <v>114</v>
      </c>
      <c r="G10" s="150" t="s">
        <v>113</v>
      </c>
      <c r="H10" s="150" t="s">
        <v>112</v>
      </c>
      <c r="J10" s="149" t="s">
        <v>104</v>
      </c>
      <c r="K10" s="149" t="s">
        <v>103</v>
      </c>
      <c r="L10" s="149" t="s">
        <v>102</v>
      </c>
      <c r="O10" s="798"/>
    </row>
    <row r="11" spans="1:15" ht="14.25" customHeight="1">
      <c r="A11" s="143" t="s">
        <v>101</v>
      </c>
      <c r="B11" s="143" t="s">
        <v>494</v>
      </c>
      <c r="C11" s="143">
        <v>125.2</v>
      </c>
      <c r="D11" s="143">
        <v>0.3</v>
      </c>
      <c r="E11" s="143">
        <v>8</v>
      </c>
      <c r="F11" s="143">
        <v>4</v>
      </c>
      <c r="G11" s="142">
        <f xml:space="preserve"> - 0.921 + 1.31*D11 + 0.0513*E11+ 0.446*F11</f>
        <v>1.6663999999999999</v>
      </c>
      <c r="H11" s="141">
        <f>G11*C11</f>
        <v>208.63327999999998</v>
      </c>
      <c r="J11" s="148">
        <f>IF($J$9="基线-总体",0,IF($J$9="基线-强测试",0,0))</f>
        <v>0</v>
      </c>
      <c r="K11" s="148">
        <f>IF($J$9="基线-总体",1.2265,IF($J$9="基线-强测试",1.9941,0.512))</f>
        <v>1.2264999999999999</v>
      </c>
      <c r="L11" s="148">
        <f>IF($J$9="基线-总体",3.3832,IF($J$9="基线-强测试",4.9096,1.452))</f>
        <v>3.3832</v>
      </c>
      <c r="O11" s="798"/>
    </row>
    <row r="12" spans="1:15">
      <c r="A12" s="147" t="s">
        <v>100</v>
      </c>
      <c r="B12" s="146" t="s">
        <v>98</v>
      </c>
      <c r="C12" s="146"/>
      <c r="D12" s="146"/>
      <c r="E12" s="146"/>
      <c r="F12" s="146"/>
      <c r="G12" s="145">
        <f xml:space="preserve"> - 0.921 + 1.31*D12 + 0.0513*E12+ 0.446*F12</f>
        <v>-0.92100000000000004</v>
      </c>
      <c r="H12" s="144">
        <f>G12*C12</f>
        <v>0</v>
      </c>
      <c r="O12" s="799"/>
    </row>
    <row r="13" spans="1:15">
      <c r="A13" s="143" t="s">
        <v>99</v>
      </c>
      <c r="B13" s="143" t="s">
        <v>98</v>
      </c>
      <c r="C13" s="143"/>
      <c r="D13" s="143"/>
      <c r="E13" s="143"/>
      <c r="F13" s="143"/>
      <c r="G13" s="142">
        <f xml:space="preserve"> - 0.921 + 1.31*D13 + 0.0513*E13+ 0.446*F13</f>
        <v>-0.92100000000000004</v>
      </c>
      <c r="H13" s="141">
        <f>G13*C13</f>
        <v>0</v>
      </c>
    </row>
    <row r="15" spans="1:15" ht="18.75" customHeight="1">
      <c r="A15" s="791" t="s">
        <v>0</v>
      </c>
      <c r="B15" s="792"/>
      <c r="C15" s="792"/>
      <c r="D15" s="792"/>
      <c r="E15" s="792"/>
      <c r="F15" s="792"/>
      <c r="G15" s="792"/>
    </row>
    <row r="16" spans="1:15" ht="17.25" customHeight="1">
      <c r="A16" s="804" t="s">
        <v>111</v>
      </c>
      <c r="B16" s="805"/>
      <c r="C16" s="805"/>
      <c r="D16" s="805"/>
      <c r="E16" s="805"/>
      <c r="F16" s="805"/>
      <c r="G16" s="805"/>
      <c r="J16" s="151" t="s">
        <v>118</v>
      </c>
      <c r="K16" s="806" t="s">
        <v>336</v>
      </c>
      <c r="L16" s="807"/>
      <c r="O16" s="797" t="s">
        <v>946</v>
      </c>
    </row>
    <row r="17" spans="1:15" ht="24">
      <c r="A17" s="150" t="s">
        <v>110</v>
      </c>
      <c r="B17" s="150" t="s">
        <v>109</v>
      </c>
      <c r="C17" s="150" t="s">
        <v>108</v>
      </c>
      <c r="D17" s="150" t="s">
        <v>107</v>
      </c>
      <c r="E17" s="150" t="s">
        <v>106</v>
      </c>
      <c r="F17" s="150" t="s">
        <v>0</v>
      </c>
      <c r="G17" s="150" t="s">
        <v>105</v>
      </c>
      <c r="J17" s="149" t="s">
        <v>104</v>
      </c>
      <c r="K17" s="149" t="s">
        <v>103</v>
      </c>
      <c r="L17" s="149" t="s">
        <v>102</v>
      </c>
      <c r="O17" s="798"/>
    </row>
    <row r="18" spans="1:15">
      <c r="A18" s="143" t="s">
        <v>101</v>
      </c>
      <c r="B18" s="143" t="s">
        <v>494</v>
      </c>
      <c r="C18" s="143">
        <v>76</v>
      </c>
      <c r="D18" s="143">
        <v>5.7000000000000002E-3</v>
      </c>
      <c r="E18" s="143">
        <v>0.11219999999999999</v>
      </c>
      <c r="F18" s="142">
        <f>0.00223 + 0.282*D18 + 0.0599*E18</f>
        <v>1.055818E-2</v>
      </c>
      <c r="G18" s="141">
        <f>F18*C18</f>
        <v>0.80242168000000003</v>
      </c>
      <c r="J18" s="148">
        <v>-0.1</v>
      </c>
      <c r="K18" s="148">
        <v>2.0021503262632877E-2</v>
      </c>
      <c r="L18" s="148">
        <v>0.1</v>
      </c>
      <c r="O18" s="798"/>
    </row>
    <row r="19" spans="1:15">
      <c r="A19" s="147" t="s">
        <v>100</v>
      </c>
      <c r="B19" s="146" t="s">
        <v>98</v>
      </c>
      <c r="C19" s="146"/>
      <c r="D19" s="146"/>
      <c r="E19" s="146"/>
      <c r="F19" s="145">
        <f>0.00223 + 0.282*D19 + 0.0599*E19</f>
        <v>2.2300000000000002E-3</v>
      </c>
      <c r="G19" s="144">
        <f>F19*C19</f>
        <v>0</v>
      </c>
      <c r="O19" s="799"/>
    </row>
    <row r="20" spans="1:15">
      <c r="A20" s="143" t="s">
        <v>99</v>
      </c>
      <c r="B20" s="143" t="s">
        <v>98</v>
      </c>
      <c r="C20" s="143"/>
      <c r="D20" s="143"/>
      <c r="E20" s="143"/>
      <c r="F20" s="142">
        <f>0.00223 + 0.282*D20 + 0.0599*E20</f>
        <v>2.2300000000000002E-3</v>
      </c>
      <c r="G20" s="141">
        <f>F20*C20</f>
        <v>0</v>
      </c>
    </row>
  </sheetData>
  <mergeCells count="12">
    <mergeCell ref="O2:O5"/>
    <mergeCell ref="O9:O12"/>
    <mergeCell ref="O16:O19"/>
    <mergeCell ref="A1:I1"/>
    <mergeCell ref="A2:I2"/>
    <mergeCell ref="A15:G15"/>
    <mergeCell ref="A16:G16"/>
    <mergeCell ref="K16:L16"/>
    <mergeCell ref="L2:M2"/>
    <mergeCell ref="A8:H8"/>
    <mergeCell ref="A9:H9"/>
    <mergeCell ref="K9:L9"/>
  </mergeCells>
  <phoneticPr fontId="4" type="noConversion"/>
  <dataValidations count="3">
    <dataValidation type="list" allowBlank="1" showInputMessage="1" showErrorMessage="1" sqref="WVR983056 JF16 TB16 ACX16 AMT16 AWP16 BGL16 BQH16 CAD16 CJZ16 CTV16 DDR16 DNN16 DXJ16 EHF16 ERB16 FAX16 FKT16 FUP16 GEL16 GOH16 GYD16 HHZ16 HRV16 IBR16 ILN16 IVJ16 JFF16 JPB16 JYX16 KIT16 KSP16 LCL16 LMH16 LWD16 MFZ16 MPV16 MZR16 NJN16 NTJ16 ODF16 ONB16 OWX16 PGT16 PQP16 QAL16 QKH16 QUD16 RDZ16 RNV16 RXR16 SHN16 SRJ16 TBF16 TLB16 TUX16 UET16 UOP16 UYL16 VIH16 VSD16 WBZ16 WLV16 WVR16 J65552 JF65552 TB65552 ACX65552 AMT65552 AWP65552 BGL65552 BQH65552 CAD65552 CJZ65552 CTV65552 DDR65552 DNN65552 DXJ65552 EHF65552 ERB65552 FAX65552 FKT65552 FUP65552 GEL65552 GOH65552 GYD65552 HHZ65552 HRV65552 IBR65552 ILN65552 IVJ65552 JFF65552 JPB65552 JYX65552 KIT65552 KSP65552 LCL65552 LMH65552 LWD65552 MFZ65552 MPV65552 MZR65552 NJN65552 NTJ65552 ODF65552 ONB65552 OWX65552 PGT65552 PQP65552 QAL65552 QKH65552 QUD65552 RDZ65552 RNV65552 RXR65552 SHN65552 SRJ65552 TBF65552 TLB65552 TUX65552 UET65552 UOP65552 UYL65552 VIH65552 VSD65552 WBZ65552 WLV65552 WVR65552 J131088 JF131088 TB131088 ACX131088 AMT131088 AWP131088 BGL131088 BQH131088 CAD131088 CJZ131088 CTV131088 DDR131088 DNN131088 DXJ131088 EHF131088 ERB131088 FAX131088 FKT131088 FUP131088 GEL131088 GOH131088 GYD131088 HHZ131088 HRV131088 IBR131088 ILN131088 IVJ131088 JFF131088 JPB131088 JYX131088 KIT131088 KSP131088 LCL131088 LMH131088 LWD131088 MFZ131088 MPV131088 MZR131088 NJN131088 NTJ131088 ODF131088 ONB131088 OWX131088 PGT131088 PQP131088 QAL131088 QKH131088 QUD131088 RDZ131088 RNV131088 RXR131088 SHN131088 SRJ131088 TBF131088 TLB131088 TUX131088 UET131088 UOP131088 UYL131088 VIH131088 VSD131088 WBZ131088 WLV131088 WVR131088 J196624 JF196624 TB196624 ACX196624 AMT196624 AWP196624 BGL196624 BQH196624 CAD196624 CJZ196624 CTV196624 DDR196624 DNN196624 DXJ196624 EHF196624 ERB196624 FAX196624 FKT196624 FUP196624 GEL196624 GOH196624 GYD196624 HHZ196624 HRV196624 IBR196624 ILN196624 IVJ196624 JFF196624 JPB196624 JYX196624 KIT196624 KSP196624 LCL196624 LMH196624 LWD196624 MFZ196624 MPV196624 MZR196624 NJN196624 NTJ196624 ODF196624 ONB196624 OWX196624 PGT196624 PQP196624 QAL196624 QKH196624 QUD196624 RDZ196624 RNV196624 RXR196624 SHN196624 SRJ196624 TBF196624 TLB196624 TUX196624 UET196624 UOP196624 UYL196624 VIH196624 VSD196624 WBZ196624 WLV196624 WVR196624 J262160 JF262160 TB262160 ACX262160 AMT262160 AWP262160 BGL262160 BQH262160 CAD262160 CJZ262160 CTV262160 DDR262160 DNN262160 DXJ262160 EHF262160 ERB262160 FAX262160 FKT262160 FUP262160 GEL262160 GOH262160 GYD262160 HHZ262160 HRV262160 IBR262160 ILN262160 IVJ262160 JFF262160 JPB262160 JYX262160 KIT262160 KSP262160 LCL262160 LMH262160 LWD262160 MFZ262160 MPV262160 MZR262160 NJN262160 NTJ262160 ODF262160 ONB262160 OWX262160 PGT262160 PQP262160 QAL262160 QKH262160 QUD262160 RDZ262160 RNV262160 RXR262160 SHN262160 SRJ262160 TBF262160 TLB262160 TUX262160 UET262160 UOP262160 UYL262160 VIH262160 VSD262160 WBZ262160 WLV262160 WVR262160 J327696 JF327696 TB327696 ACX327696 AMT327696 AWP327696 BGL327696 BQH327696 CAD327696 CJZ327696 CTV327696 DDR327696 DNN327696 DXJ327696 EHF327696 ERB327696 FAX327696 FKT327696 FUP327696 GEL327696 GOH327696 GYD327696 HHZ327696 HRV327696 IBR327696 ILN327696 IVJ327696 JFF327696 JPB327696 JYX327696 KIT327696 KSP327696 LCL327696 LMH327696 LWD327696 MFZ327696 MPV327696 MZR327696 NJN327696 NTJ327696 ODF327696 ONB327696 OWX327696 PGT327696 PQP327696 QAL327696 QKH327696 QUD327696 RDZ327696 RNV327696 RXR327696 SHN327696 SRJ327696 TBF327696 TLB327696 TUX327696 UET327696 UOP327696 UYL327696 VIH327696 VSD327696 WBZ327696 WLV327696 WVR327696 J393232 JF393232 TB393232 ACX393232 AMT393232 AWP393232 BGL393232 BQH393232 CAD393232 CJZ393232 CTV393232 DDR393232 DNN393232 DXJ393232 EHF393232 ERB393232 FAX393232 FKT393232 FUP393232 GEL393232 GOH393232 GYD393232 HHZ393232 HRV393232 IBR393232 ILN393232 IVJ393232 JFF393232 JPB393232 JYX393232 KIT393232 KSP393232 LCL393232 LMH393232 LWD393232 MFZ393232 MPV393232 MZR393232 NJN393232 NTJ393232 ODF393232 ONB393232 OWX393232 PGT393232 PQP393232 QAL393232 QKH393232 QUD393232 RDZ393232 RNV393232 RXR393232 SHN393232 SRJ393232 TBF393232 TLB393232 TUX393232 UET393232 UOP393232 UYL393232 VIH393232 VSD393232 WBZ393232 WLV393232 WVR393232 J458768 JF458768 TB458768 ACX458768 AMT458768 AWP458768 BGL458768 BQH458768 CAD458768 CJZ458768 CTV458768 DDR458768 DNN458768 DXJ458768 EHF458768 ERB458768 FAX458768 FKT458768 FUP458768 GEL458768 GOH458768 GYD458768 HHZ458768 HRV458768 IBR458768 ILN458768 IVJ458768 JFF458768 JPB458768 JYX458768 KIT458768 KSP458768 LCL458768 LMH458768 LWD458768 MFZ458768 MPV458768 MZR458768 NJN458768 NTJ458768 ODF458768 ONB458768 OWX458768 PGT458768 PQP458768 QAL458768 QKH458768 QUD458768 RDZ458768 RNV458768 RXR458768 SHN458768 SRJ458768 TBF458768 TLB458768 TUX458768 UET458768 UOP458768 UYL458768 VIH458768 VSD458768 WBZ458768 WLV458768 WVR458768 J524304 JF524304 TB524304 ACX524304 AMT524304 AWP524304 BGL524304 BQH524304 CAD524304 CJZ524304 CTV524304 DDR524304 DNN524304 DXJ524304 EHF524304 ERB524304 FAX524304 FKT524304 FUP524304 GEL524304 GOH524304 GYD524304 HHZ524304 HRV524304 IBR524304 ILN524304 IVJ524304 JFF524304 JPB524304 JYX524304 KIT524304 KSP524304 LCL524304 LMH524304 LWD524304 MFZ524304 MPV524304 MZR524304 NJN524304 NTJ524304 ODF524304 ONB524304 OWX524304 PGT524304 PQP524304 QAL524304 QKH524304 QUD524304 RDZ524304 RNV524304 RXR524304 SHN524304 SRJ524304 TBF524304 TLB524304 TUX524304 UET524304 UOP524304 UYL524304 VIH524304 VSD524304 WBZ524304 WLV524304 WVR524304 J589840 JF589840 TB589840 ACX589840 AMT589840 AWP589840 BGL589840 BQH589840 CAD589840 CJZ589840 CTV589840 DDR589840 DNN589840 DXJ589840 EHF589840 ERB589840 FAX589840 FKT589840 FUP589840 GEL589840 GOH589840 GYD589840 HHZ589840 HRV589840 IBR589840 ILN589840 IVJ589840 JFF589840 JPB589840 JYX589840 KIT589840 KSP589840 LCL589840 LMH589840 LWD589840 MFZ589840 MPV589840 MZR589840 NJN589840 NTJ589840 ODF589840 ONB589840 OWX589840 PGT589840 PQP589840 QAL589840 QKH589840 QUD589840 RDZ589840 RNV589840 RXR589840 SHN589840 SRJ589840 TBF589840 TLB589840 TUX589840 UET589840 UOP589840 UYL589840 VIH589840 VSD589840 WBZ589840 WLV589840 WVR589840 J655376 JF655376 TB655376 ACX655376 AMT655376 AWP655376 BGL655376 BQH655376 CAD655376 CJZ655376 CTV655376 DDR655376 DNN655376 DXJ655376 EHF655376 ERB655376 FAX655376 FKT655376 FUP655376 GEL655376 GOH655376 GYD655376 HHZ655376 HRV655376 IBR655376 ILN655376 IVJ655376 JFF655376 JPB655376 JYX655376 KIT655376 KSP655376 LCL655376 LMH655376 LWD655376 MFZ655376 MPV655376 MZR655376 NJN655376 NTJ655376 ODF655376 ONB655376 OWX655376 PGT655376 PQP655376 QAL655376 QKH655376 QUD655376 RDZ655376 RNV655376 RXR655376 SHN655376 SRJ655376 TBF655376 TLB655376 TUX655376 UET655376 UOP655376 UYL655376 VIH655376 VSD655376 WBZ655376 WLV655376 WVR655376 J720912 JF720912 TB720912 ACX720912 AMT720912 AWP720912 BGL720912 BQH720912 CAD720912 CJZ720912 CTV720912 DDR720912 DNN720912 DXJ720912 EHF720912 ERB720912 FAX720912 FKT720912 FUP720912 GEL720912 GOH720912 GYD720912 HHZ720912 HRV720912 IBR720912 ILN720912 IVJ720912 JFF720912 JPB720912 JYX720912 KIT720912 KSP720912 LCL720912 LMH720912 LWD720912 MFZ720912 MPV720912 MZR720912 NJN720912 NTJ720912 ODF720912 ONB720912 OWX720912 PGT720912 PQP720912 QAL720912 QKH720912 QUD720912 RDZ720912 RNV720912 RXR720912 SHN720912 SRJ720912 TBF720912 TLB720912 TUX720912 UET720912 UOP720912 UYL720912 VIH720912 VSD720912 WBZ720912 WLV720912 WVR720912 J786448 JF786448 TB786448 ACX786448 AMT786448 AWP786448 BGL786448 BQH786448 CAD786448 CJZ786448 CTV786448 DDR786448 DNN786448 DXJ786448 EHF786448 ERB786448 FAX786448 FKT786448 FUP786448 GEL786448 GOH786448 GYD786448 HHZ786448 HRV786448 IBR786448 ILN786448 IVJ786448 JFF786448 JPB786448 JYX786448 KIT786448 KSP786448 LCL786448 LMH786448 LWD786448 MFZ786448 MPV786448 MZR786448 NJN786448 NTJ786448 ODF786448 ONB786448 OWX786448 PGT786448 PQP786448 QAL786448 QKH786448 QUD786448 RDZ786448 RNV786448 RXR786448 SHN786448 SRJ786448 TBF786448 TLB786448 TUX786448 UET786448 UOP786448 UYL786448 VIH786448 VSD786448 WBZ786448 WLV786448 WVR786448 J851984 JF851984 TB851984 ACX851984 AMT851984 AWP851984 BGL851984 BQH851984 CAD851984 CJZ851984 CTV851984 DDR851984 DNN851984 DXJ851984 EHF851984 ERB851984 FAX851984 FKT851984 FUP851984 GEL851984 GOH851984 GYD851984 HHZ851984 HRV851984 IBR851984 ILN851984 IVJ851984 JFF851984 JPB851984 JYX851984 KIT851984 KSP851984 LCL851984 LMH851984 LWD851984 MFZ851984 MPV851984 MZR851984 NJN851984 NTJ851984 ODF851984 ONB851984 OWX851984 PGT851984 PQP851984 QAL851984 QKH851984 QUD851984 RDZ851984 RNV851984 RXR851984 SHN851984 SRJ851984 TBF851984 TLB851984 TUX851984 UET851984 UOP851984 UYL851984 VIH851984 VSD851984 WBZ851984 WLV851984 WVR851984 J917520 JF917520 TB917520 ACX917520 AMT917520 AWP917520 BGL917520 BQH917520 CAD917520 CJZ917520 CTV917520 DDR917520 DNN917520 DXJ917520 EHF917520 ERB917520 FAX917520 FKT917520 FUP917520 GEL917520 GOH917520 GYD917520 HHZ917520 HRV917520 IBR917520 ILN917520 IVJ917520 JFF917520 JPB917520 JYX917520 KIT917520 KSP917520 LCL917520 LMH917520 LWD917520 MFZ917520 MPV917520 MZR917520 NJN917520 NTJ917520 ODF917520 ONB917520 OWX917520 PGT917520 PQP917520 QAL917520 QKH917520 QUD917520 RDZ917520 RNV917520 RXR917520 SHN917520 SRJ917520 TBF917520 TLB917520 TUX917520 UET917520 UOP917520 UYL917520 VIH917520 VSD917520 WBZ917520 WLV917520 WVR917520 J983056 JF983056 TB983056 ACX983056 AMT983056 AWP983056 BGL983056 BQH983056 CAD983056 CJZ983056 CTV983056 DDR983056 DNN983056 DXJ983056 EHF983056 ERB983056 FAX983056 FKT983056 FUP983056 GEL983056 GOH983056 GYD983056 HHZ983056 HRV983056 IBR983056 ILN983056 IVJ983056 JFF983056 JPB983056 JYX983056 KIT983056 KSP983056 LCL983056 LMH983056 LWD983056 MFZ983056 MPV983056 MZR983056 NJN983056 NTJ983056 ODF983056 ONB983056 OWX983056 PGT983056 PQP983056 QAL983056 QKH983056 QUD983056 RDZ983056 RNV983056 RXR983056 SHN983056 SRJ983056 TBF983056 TLB983056 TUX983056 UET983056 UOP983056 UYL983056 VIH983056 VSD983056 WBZ983056 WLV983056">
      <formula1>"会议,邮件"</formula1>
    </dataValidation>
    <dataValidation type="list" allowBlank="1" showInputMessage="1" showErrorMessage="1" sqref="J9">
      <formula1>"基线-总体,基线-强测试,基线-弱测试"</formula1>
    </dataValidation>
    <dataValidation type="list" allowBlank="1" showInputMessage="1" showErrorMessage="1" sqref="B4:B6 B11:B13 B18:B20">
      <formula1>"因子预测值,因子实际值"</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sheetPr>
  <dimension ref="A1:R34"/>
  <sheetViews>
    <sheetView showGridLines="0" workbookViewId="0">
      <selection activeCell="I10" sqref="I10"/>
    </sheetView>
  </sheetViews>
  <sheetFormatPr defaultRowHeight="12"/>
  <cols>
    <col min="1" max="1" width="9" style="152"/>
    <col min="2" max="2" width="12.25" style="152" customWidth="1"/>
    <col min="3" max="3" width="8.375" style="152" customWidth="1"/>
    <col min="4" max="5" width="9.375" style="152" customWidth="1"/>
    <col min="6" max="6" width="9" style="152" customWidth="1"/>
    <col min="7" max="7" width="10.125" style="152" customWidth="1"/>
    <col min="8" max="9" width="11.375" style="152" customWidth="1"/>
    <col min="10" max="10" width="11" style="152" customWidth="1"/>
    <col min="11" max="11" width="11.25" style="152" customWidth="1"/>
    <col min="12" max="16384" width="9" style="152"/>
  </cols>
  <sheetData>
    <row r="1" spans="1:18" ht="12" customHeight="1">
      <c r="A1" s="810" t="s">
        <v>650</v>
      </c>
      <c r="B1" s="811"/>
      <c r="C1" s="811"/>
      <c r="D1" s="811"/>
      <c r="E1" s="811"/>
      <c r="F1" s="811"/>
      <c r="G1" s="811"/>
      <c r="H1" s="811"/>
      <c r="I1" s="811"/>
      <c r="J1" s="812"/>
      <c r="K1" s="164"/>
      <c r="L1" s="164"/>
      <c r="M1" s="164"/>
      <c r="N1" s="164"/>
      <c r="O1" s="164"/>
      <c r="P1" s="164"/>
      <c r="Q1" s="164"/>
      <c r="R1" s="164"/>
    </row>
    <row r="2" spans="1:18" ht="12" customHeight="1">
      <c r="A2" s="813"/>
      <c r="B2" s="814"/>
      <c r="C2" s="814"/>
      <c r="D2" s="814"/>
      <c r="E2" s="814"/>
      <c r="F2" s="814"/>
      <c r="G2" s="814"/>
      <c r="H2" s="814"/>
      <c r="I2" s="814"/>
      <c r="J2" s="815"/>
      <c r="K2" s="163"/>
      <c r="L2" s="163"/>
      <c r="M2" s="163"/>
      <c r="N2" s="163"/>
      <c r="O2" s="163"/>
      <c r="P2" s="163"/>
      <c r="Q2" s="163"/>
      <c r="R2" s="163"/>
    </row>
    <row r="3" spans="1:18" ht="20.25">
      <c r="A3" s="827"/>
      <c r="B3" s="827"/>
      <c r="C3" s="827"/>
      <c r="D3" s="827"/>
      <c r="E3" s="827"/>
      <c r="F3" s="827"/>
      <c r="G3" s="827"/>
      <c r="H3" s="827"/>
      <c r="I3" s="827"/>
      <c r="J3" s="827"/>
      <c r="K3" s="163"/>
      <c r="L3" s="163"/>
      <c r="M3" s="163"/>
      <c r="N3" s="163"/>
      <c r="O3" s="163"/>
      <c r="P3" s="163"/>
      <c r="Q3" s="163"/>
      <c r="R3" s="163"/>
    </row>
    <row r="4" spans="1:18" ht="11.25" customHeight="1">
      <c r="A4" s="162"/>
      <c r="B4" s="161"/>
      <c r="C4" s="161"/>
      <c r="D4" s="161"/>
      <c r="E4" s="161"/>
      <c r="F4" s="161"/>
      <c r="G4" s="161"/>
      <c r="H4" s="161"/>
      <c r="I4" s="161"/>
      <c r="J4" s="160"/>
      <c r="K4" s="159"/>
      <c r="L4" s="159"/>
      <c r="M4" s="159"/>
      <c r="N4" s="159"/>
      <c r="O4" s="159"/>
      <c r="P4" s="159"/>
      <c r="Q4" s="159"/>
      <c r="R4" s="159"/>
    </row>
    <row r="5" spans="1:18" ht="13.5" customHeight="1">
      <c r="A5" s="337" t="s">
        <v>649</v>
      </c>
      <c r="B5" s="439"/>
      <c r="C5" s="158"/>
      <c r="D5" s="158"/>
      <c r="E5" s="158"/>
      <c r="F5" s="158"/>
      <c r="G5" s="158"/>
      <c r="H5" s="158"/>
      <c r="I5" s="158"/>
      <c r="J5" s="157"/>
    </row>
    <row r="6" spans="1:18" ht="12" customHeight="1">
      <c r="A6" s="330" t="s">
        <v>648</v>
      </c>
      <c r="B6" s="158"/>
      <c r="C6" s="158"/>
      <c r="D6" s="158"/>
      <c r="E6" s="158"/>
      <c r="F6" s="158"/>
      <c r="G6" s="158"/>
      <c r="H6" s="158"/>
      <c r="I6" s="158"/>
      <c r="J6" s="157"/>
    </row>
    <row r="7" spans="1:18" ht="15.75" customHeight="1" thickBot="1">
      <c r="A7" s="330" t="s">
        <v>647</v>
      </c>
      <c r="B7" s="156"/>
      <c r="C7" s="156"/>
      <c r="D7" s="156"/>
      <c r="E7" s="156"/>
      <c r="F7" s="156"/>
      <c r="G7" s="156"/>
      <c r="H7" s="156"/>
      <c r="I7" s="156"/>
      <c r="J7" s="155"/>
    </row>
    <row r="8" spans="1:18" ht="16.5" customHeight="1" thickTop="1">
      <c r="A8" s="828" t="s">
        <v>646</v>
      </c>
      <c r="B8" s="822" t="s">
        <v>645</v>
      </c>
      <c r="C8" s="822" t="s">
        <v>644</v>
      </c>
      <c r="D8" s="832" t="s">
        <v>643</v>
      </c>
      <c r="E8" s="833"/>
      <c r="F8" s="833"/>
      <c r="G8" s="834"/>
      <c r="H8" s="822" t="s">
        <v>642</v>
      </c>
      <c r="I8" s="822" t="s">
        <v>763</v>
      </c>
      <c r="J8" s="816" t="s">
        <v>641</v>
      </c>
    </row>
    <row r="9" spans="1:18" ht="23.1" customHeight="1">
      <c r="A9" s="829"/>
      <c r="B9" s="823"/>
      <c r="C9" s="823"/>
      <c r="D9" s="432" t="s">
        <v>640</v>
      </c>
      <c r="E9" s="432" t="s">
        <v>639</v>
      </c>
      <c r="F9" s="432" t="s">
        <v>638</v>
      </c>
      <c r="G9" s="432" t="s">
        <v>637</v>
      </c>
      <c r="H9" s="823"/>
      <c r="I9" s="823"/>
      <c r="J9" s="817"/>
    </row>
    <row r="10" spans="1:18" s="138" customFormat="1" ht="23.1" customHeight="1">
      <c r="A10" s="824" t="s">
        <v>636</v>
      </c>
      <c r="B10" s="431" t="s">
        <v>605</v>
      </c>
      <c r="C10" s="153">
        <v>10</v>
      </c>
      <c r="D10" s="153">
        <v>0</v>
      </c>
      <c r="E10" s="153">
        <v>0</v>
      </c>
      <c r="F10" s="153">
        <v>0</v>
      </c>
      <c r="G10" s="429">
        <f>SUM(D10:F10)</f>
        <v>0</v>
      </c>
      <c r="H10" s="153">
        <v>0</v>
      </c>
      <c r="I10" s="153">
        <v>326.25</v>
      </c>
      <c r="J10" s="428">
        <f t="shared" ref="J10:J15" si="0">1-(G10/C10)*(ABS(H10)/I10)</f>
        <v>1</v>
      </c>
      <c r="N10" s="138" t="str">
        <f>B10</f>
        <v>需求阶段</v>
      </c>
      <c r="O10" s="138">
        <f t="shared" ref="O10:O15" si="1">J10</f>
        <v>1</v>
      </c>
    </row>
    <row r="11" spans="1:18" s="138" customFormat="1" ht="23.1" customHeight="1">
      <c r="A11" s="825"/>
      <c r="B11" s="431" t="s">
        <v>635</v>
      </c>
      <c r="C11" s="430">
        <f>C10+D10-E10</f>
        <v>10</v>
      </c>
      <c r="D11" s="153">
        <v>1</v>
      </c>
      <c r="E11" s="153">
        <v>0</v>
      </c>
      <c r="F11" s="153">
        <v>2</v>
      </c>
      <c r="G11" s="429">
        <f>SUM(D11:F11)</f>
        <v>3</v>
      </c>
      <c r="H11" s="153">
        <v>40.299999999999997</v>
      </c>
      <c r="I11" s="153">
        <v>326.25</v>
      </c>
      <c r="J11" s="428">
        <f t="shared" si="0"/>
        <v>0.96294252873563213</v>
      </c>
      <c r="N11" s="138" t="str">
        <f>B11</f>
        <v>设计阶段</v>
      </c>
      <c r="O11" s="138">
        <f t="shared" si="1"/>
        <v>0.96294252873563213</v>
      </c>
    </row>
    <row r="12" spans="1:18" s="138" customFormat="1" ht="23.1" customHeight="1">
      <c r="A12" s="825"/>
      <c r="B12" s="431" t="s">
        <v>634</v>
      </c>
      <c r="C12" s="430">
        <f>C11+D11-E11</f>
        <v>11</v>
      </c>
      <c r="D12" s="153">
        <v>0</v>
      </c>
      <c r="E12" s="153">
        <v>3</v>
      </c>
      <c r="F12" s="153">
        <v>0</v>
      </c>
      <c r="G12" s="429">
        <f>SUM(D12:F12)</f>
        <v>3</v>
      </c>
      <c r="H12" s="153">
        <v>50.5</v>
      </c>
      <c r="I12" s="153">
        <v>338</v>
      </c>
      <c r="J12" s="428">
        <f t="shared" si="0"/>
        <v>0.95925228617536307</v>
      </c>
      <c r="N12" s="138" t="str">
        <f>B12</f>
        <v>开发阶段</v>
      </c>
      <c r="O12" s="138">
        <f t="shared" si="1"/>
        <v>0.95925228617536307</v>
      </c>
    </row>
    <row r="13" spans="1:18" s="138" customFormat="1" ht="23.1" customHeight="1">
      <c r="A13" s="825"/>
      <c r="B13" s="431" t="s">
        <v>633</v>
      </c>
      <c r="C13" s="430">
        <f>C12+D12-E12</f>
        <v>8</v>
      </c>
      <c r="D13" s="153">
        <v>0</v>
      </c>
      <c r="E13" s="153">
        <v>0</v>
      </c>
      <c r="F13" s="153">
        <v>0</v>
      </c>
      <c r="G13" s="429">
        <f>SUM(D13:F13)</f>
        <v>0</v>
      </c>
      <c r="H13" s="153">
        <v>0</v>
      </c>
      <c r="I13" s="153">
        <v>287.5</v>
      </c>
      <c r="J13" s="428">
        <f t="shared" si="0"/>
        <v>1</v>
      </c>
      <c r="N13" s="138" t="str">
        <f>B13</f>
        <v>测试阶段</v>
      </c>
      <c r="O13" s="138">
        <f t="shared" si="1"/>
        <v>1</v>
      </c>
      <c r="Q13" s="152"/>
    </row>
    <row r="14" spans="1:18" s="138" customFormat="1" ht="23.1" customHeight="1">
      <c r="A14" s="825"/>
      <c r="B14" s="431" t="s">
        <v>632</v>
      </c>
      <c r="C14" s="430">
        <f>C13+D13-E13</f>
        <v>8</v>
      </c>
      <c r="D14" s="153">
        <v>0</v>
      </c>
      <c r="E14" s="153">
        <v>0</v>
      </c>
      <c r="F14" s="153">
        <v>0</v>
      </c>
      <c r="G14" s="429">
        <f>SUM(D14:F14)</f>
        <v>0</v>
      </c>
      <c r="H14" s="153">
        <v>0</v>
      </c>
      <c r="I14" s="153">
        <v>287.5</v>
      </c>
      <c r="J14" s="428">
        <f t="shared" si="0"/>
        <v>1</v>
      </c>
      <c r="N14" s="138" t="str">
        <f>B14</f>
        <v>验收阶段</v>
      </c>
      <c r="O14" s="138">
        <f t="shared" si="1"/>
        <v>1</v>
      </c>
      <c r="Q14" s="152"/>
    </row>
    <row r="15" spans="1:18" ht="18.75" customHeight="1" thickBot="1">
      <c r="A15" s="826"/>
      <c r="B15" s="427" t="s">
        <v>631</v>
      </c>
      <c r="C15" s="426">
        <f>C10</f>
        <v>10</v>
      </c>
      <c r="D15" s="426">
        <f>SUM(D10:D14)</f>
        <v>1</v>
      </c>
      <c r="E15" s="438">
        <f>SUM(E10:E14)</f>
        <v>3</v>
      </c>
      <c r="F15" s="437">
        <f>SUM(F10:F14)</f>
        <v>2</v>
      </c>
      <c r="G15" s="425">
        <f>SUM(G10:G14)</f>
        <v>6</v>
      </c>
      <c r="H15" s="425">
        <f>SUM(H10:H14)</f>
        <v>90.8</v>
      </c>
      <c r="I15" s="425">
        <f>I10</f>
        <v>326.25</v>
      </c>
      <c r="J15" s="428">
        <f t="shared" si="0"/>
        <v>0.83301149425287357</v>
      </c>
      <c r="O15" s="138">
        <f t="shared" si="1"/>
        <v>0.83301149425287357</v>
      </c>
    </row>
    <row r="16" spans="1:18" ht="18.75" customHeight="1" thickTop="1">
      <c r="A16" s="820"/>
      <c r="B16" s="820"/>
      <c r="C16" s="820"/>
      <c r="D16" s="821"/>
      <c r="E16" s="821"/>
      <c r="F16" s="820"/>
      <c r="G16" s="820"/>
      <c r="H16" s="820"/>
      <c r="I16" s="820"/>
      <c r="J16" s="820"/>
    </row>
    <row r="17" spans="1:15" ht="12" customHeight="1">
      <c r="A17" s="436" t="s">
        <v>630</v>
      </c>
      <c r="B17" s="435"/>
      <c r="C17" s="434"/>
      <c r="D17" s="433"/>
      <c r="E17" s="433"/>
      <c r="F17" s="433"/>
      <c r="G17" s="433"/>
      <c r="H17" s="433"/>
      <c r="I17" s="433"/>
      <c r="J17" s="433"/>
    </row>
    <row r="18" spans="1:15" ht="12" customHeight="1">
      <c r="A18" s="818" t="s">
        <v>629</v>
      </c>
      <c r="B18" s="818"/>
      <c r="C18" s="818"/>
      <c r="D18" s="818"/>
      <c r="E18" s="818"/>
      <c r="F18" s="818"/>
      <c r="G18" s="818"/>
      <c r="H18" s="818"/>
      <c r="I18" s="818"/>
      <c r="J18" s="818"/>
    </row>
    <row r="19" spans="1:15" ht="12" customHeight="1" thickBot="1">
      <c r="A19" s="819" t="s">
        <v>628</v>
      </c>
      <c r="B19" s="819"/>
      <c r="C19" s="819"/>
      <c r="D19" s="819"/>
      <c r="E19" s="819"/>
      <c r="F19" s="819"/>
      <c r="G19" s="819"/>
      <c r="H19" s="819"/>
      <c r="I19" s="819"/>
      <c r="J19" s="819"/>
    </row>
    <row r="20" spans="1:15" ht="18.75" customHeight="1" thickTop="1">
      <c r="A20" s="828" t="s">
        <v>627</v>
      </c>
      <c r="B20" s="822" t="s">
        <v>626</v>
      </c>
      <c r="C20" s="822" t="s">
        <v>625</v>
      </c>
      <c r="D20" s="832" t="s">
        <v>624</v>
      </c>
      <c r="E20" s="833"/>
      <c r="F20" s="833"/>
      <c r="G20" s="834"/>
      <c r="H20" s="822" t="s">
        <v>764</v>
      </c>
      <c r="I20" s="822" t="s">
        <v>763</v>
      </c>
      <c r="J20" s="816" t="s">
        <v>623</v>
      </c>
    </row>
    <row r="21" spans="1:15" ht="20.25" customHeight="1">
      <c r="A21" s="829"/>
      <c r="B21" s="823"/>
      <c r="C21" s="823"/>
      <c r="D21" s="432" t="s">
        <v>622</v>
      </c>
      <c r="E21" s="432" t="s">
        <v>621</v>
      </c>
      <c r="F21" s="432" t="s">
        <v>620</v>
      </c>
      <c r="G21" s="432" t="s">
        <v>619</v>
      </c>
      <c r="H21" s="823"/>
      <c r="I21" s="823"/>
      <c r="J21" s="817"/>
    </row>
    <row r="22" spans="1:15" ht="23.1" customHeight="1">
      <c r="A22" s="824" t="s">
        <v>618</v>
      </c>
      <c r="B22" s="431" t="s">
        <v>1</v>
      </c>
      <c r="C22" s="153">
        <v>30</v>
      </c>
      <c r="D22" s="153">
        <v>0</v>
      </c>
      <c r="E22" s="153">
        <v>0</v>
      </c>
      <c r="F22" s="153">
        <v>0</v>
      </c>
      <c r="G22" s="429">
        <f>D22+E22+F22</f>
        <v>0</v>
      </c>
      <c r="H22" s="153">
        <v>0</v>
      </c>
      <c r="I22" s="153">
        <v>326.25</v>
      </c>
      <c r="J22" s="428">
        <f t="shared" ref="J22:J27" si="2">1-(G22/C22)*(ABS(H22)/I22)</f>
        <v>1</v>
      </c>
      <c r="N22" s="138" t="str">
        <f>B22</f>
        <v>需求阶段</v>
      </c>
      <c r="O22" s="138">
        <f>J22</f>
        <v>1</v>
      </c>
    </row>
    <row r="23" spans="1:15" ht="23.1" customHeight="1">
      <c r="A23" s="825"/>
      <c r="B23" s="431" t="s">
        <v>4</v>
      </c>
      <c r="C23" s="430">
        <f>C22+D22-E22</f>
        <v>30</v>
      </c>
      <c r="D23" s="153">
        <v>5</v>
      </c>
      <c r="E23" s="153">
        <v>2</v>
      </c>
      <c r="F23" s="153">
        <v>4</v>
      </c>
      <c r="G23" s="429">
        <f>D23+E23+F23</f>
        <v>11</v>
      </c>
      <c r="H23" s="153">
        <v>40.299999999999997</v>
      </c>
      <c r="I23" s="153">
        <v>326.25</v>
      </c>
      <c r="J23" s="428">
        <f t="shared" si="2"/>
        <v>0.95470753512132822</v>
      </c>
      <c r="N23" s="138" t="str">
        <f>B23</f>
        <v>设计阶段</v>
      </c>
      <c r="O23" s="138">
        <f>J23</f>
        <v>0.95470753512132822</v>
      </c>
    </row>
    <row r="24" spans="1:15" ht="23.1" customHeight="1">
      <c r="A24" s="825"/>
      <c r="B24" s="431" t="s">
        <v>331</v>
      </c>
      <c r="C24" s="430">
        <f>C23+D23-E23</f>
        <v>33</v>
      </c>
      <c r="D24" s="153">
        <v>0</v>
      </c>
      <c r="E24" s="153">
        <v>10</v>
      </c>
      <c r="F24" s="153">
        <v>3</v>
      </c>
      <c r="G24" s="429">
        <f>D24+E24+F24</f>
        <v>13</v>
      </c>
      <c r="H24" s="153">
        <v>80</v>
      </c>
      <c r="I24" s="153">
        <v>338</v>
      </c>
      <c r="J24" s="428">
        <f t="shared" si="2"/>
        <v>0.90675990675990681</v>
      </c>
      <c r="N24" s="138" t="str">
        <f>B24</f>
        <v>开发阶段</v>
      </c>
      <c r="O24" s="138">
        <f>J24</f>
        <v>0.90675990675990681</v>
      </c>
    </row>
    <row r="25" spans="1:15" ht="23.1" customHeight="1">
      <c r="A25" s="825"/>
      <c r="B25" s="431" t="s">
        <v>6</v>
      </c>
      <c r="C25" s="430">
        <f>C24+D24-E24</f>
        <v>23</v>
      </c>
      <c r="D25" s="153">
        <v>0</v>
      </c>
      <c r="E25" s="153">
        <v>0</v>
      </c>
      <c r="F25" s="153">
        <v>0</v>
      </c>
      <c r="G25" s="429">
        <f>D25+E25+F25</f>
        <v>0</v>
      </c>
      <c r="H25" s="153">
        <v>0</v>
      </c>
      <c r="I25" s="153">
        <v>287.5</v>
      </c>
      <c r="J25" s="428">
        <f t="shared" si="2"/>
        <v>1</v>
      </c>
      <c r="N25" s="138" t="str">
        <f>B25</f>
        <v>测试阶段</v>
      </c>
      <c r="O25" s="138">
        <f>J25</f>
        <v>1</v>
      </c>
    </row>
    <row r="26" spans="1:15" ht="23.1" customHeight="1">
      <c r="A26" s="825"/>
      <c r="B26" s="431" t="s">
        <v>126</v>
      </c>
      <c r="C26" s="430">
        <f>C25+D25-E25</f>
        <v>23</v>
      </c>
      <c r="D26" s="153">
        <v>0</v>
      </c>
      <c r="E26" s="153">
        <v>0</v>
      </c>
      <c r="F26" s="153">
        <v>0</v>
      </c>
      <c r="G26" s="429">
        <f>D26+E26+F26</f>
        <v>0</v>
      </c>
      <c r="H26" s="153">
        <v>0</v>
      </c>
      <c r="I26" s="153">
        <v>287.5</v>
      </c>
      <c r="J26" s="428">
        <f t="shared" si="2"/>
        <v>1</v>
      </c>
      <c r="N26" s="138" t="str">
        <f>B26</f>
        <v>验收阶段</v>
      </c>
      <c r="O26" s="138">
        <f>J26</f>
        <v>1</v>
      </c>
    </row>
    <row r="27" spans="1:15" ht="23.1" customHeight="1" thickBot="1">
      <c r="A27" s="826"/>
      <c r="B27" s="427" t="s">
        <v>617</v>
      </c>
      <c r="C27" s="426">
        <f>C22</f>
        <v>30</v>
      </c>
      <c r="D27" s="426">
        <f>SUM(D22:D26)</f>
        <v>5</v>
      </c>
      <c r="E27" s="426">
        <f>SUM(E22:E26)</f>
        <v>12</v>
      </c>
      <c r="F27" s="426">
        <f>SUM(F22:F26)</f>
        <v>7</v>
      </c>
      <c r="G27" s="426">
        <f>SUM(G22:G26)</f>
        <v>24</v>
      </c>
      <c r="H27" s="425">
        <f>SUM(H22:H26)</f>
        <v>120.3</v>
      </c>
      <c r="I27" s="425">
        <f>I22</f>
        <v>326.25</v>
      </c>
      <c r="J27" s="424">
        <f t="shared" si="2"/>
        <v>0.70501149425287357</v>
      </c>
    </row>
    <row r="28" spans="1:15" ht="12.75" thickTop="1"/>
    <row r="29" spans="1:15">
      <c r="A29" s="830" t="s">
        <v>949</v>
      </c>
      <c r="B29" s="831"/>
      <c r="C29" s="831"/>
      <c r="D29" s="831"/>
      <c r="E29" s="831"/>
      <c r="F29" s="831"/>
      <c r="G29" s="831"/>
      <c r="H29" s="831"/>
      <c r="I29" s="831"/>
      <c r="J29" s="831"/>
    </row>
    <row r="30" spans="1:15">
      <c r="A30" s="831"/>
      <c r="B30" s="831"/>
      <c r="C30" s="831"/>
      <c r="D30" s="831"/>
      <c r="E30" s="831"/>
      <c r="F30" s="831"/>
      <c r="G30" s="831"/>
      <c r="H30" s="831"/>
      <c r="I30" s="831"/>
      <c r="J30" s="831"/>
    </row>
    <row r="31" spans="1:15">
      <c r="A31" s="831"/>
      <c r="B31" s="831"/>
      <c r="C31" s="831"/>
      <c r="D31" s="831"/>
      <c r="E31" s="831"/>
      <c r="F31" s="831"/>
      <c r="G31" s="831"/>
      <c r="H31" s="831"/>
      <c r="I31" s="831"/>
      <c r="J31" s="831"/>
    </row>
    <row r="32" spans="1:15">
      <c r="A32" s="831"/>
      <c r="B32" s="831"/>
      <c r="C32" s="831"/>
      <c r="D32" s="831"/>
      <c r="E32" s="831"/>
      <c r="F32" s="831"/>
      <c r="G32" s="831"/>
      <c r="H32" s="831"/>
      <c r="I32" s="831"/>
      <c r="J32" s="831"/>
    </row>
    <row r="33" spans="1:10">
      <c r="A33" s="831"/>
      <c r="B33" s="831"/>
      <c r="C33" s="831"/>
      <c r="D33" s="831"/>
      <c r="E33" s="831"/>
      <c r="F33" s="831"/>
      <c r="G33" s="831"/>
      <c r="H33" s="831"/>
      <c r="I33" s="831"/>
      <c r="J33" s="831"/>
    </row>
    <row r="34" spans="1:10" ht="42" customHeight="1">
      <c r="A34" s="831"/>
      <c r="B34" s="831"/>
      <c r="C34" s="831"/>
      <c r="D34" s="831"/>
      <c r="E34" s="831"/>
      <c r="F34" s="831"/>
      <c r="G34" s="831"/>
      <c r="H34" s="831"/>
      <c r="I34" s="831"/>
      <c r="J34" s="831"/>
    </row>
  </sheetData>
  <mergeCells count="22">
    <mergeCell ref="A29:J34"/>
    <mergeCell ref="A22:A27"/>
    <mergeCell ref="D20:G20"/>
    <mergeCell ref="D8:G8"/>
    <mergeCell ref="A8:A9"/>
    <mergeCell ref="H20:H21"/>
    <mergeCell ref="A1:J2"/>
    <mergeCell ref="J20:J21"/>
    <mergeCell ref="A18:J18"/>
    <mergeCell ref="A19:J19"/>
    <mergeCell ref="A16:J16"/>
    <mergeCell ref="B8:B9"/>
    <mergeCell ref="A10:A15"/>
    <mergeCell ref="J8:J9"/>
    <mergeCell ref="H8:H9"/>
    <mergeCell ref="I8:I9"/>
    <mergeCell ref="A3:J3"/>
    <mergeCell ref="C8:C9"/>
    <mergeCell ref="I20:I21"/>
    <mergeCell ref="A20:A21"/>
    <mergeCell ref="B20:B21"/>
    <mergeCell ref="C20:C21"/>
  </mergeCells>
  <phoneticPr fontId="4" type="noConversion"/>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A1:S46"/>
  <sheetViews>
    <sheetView showGridLines="0" topLeftCell="A4" workbookViewId="0">
      <selection activeCell="K23" sqref="K23"/>
    </sheetView>
  </sheetViews>
  <sheetFormatPr defaultRowHeight="12"/>
  <cols>
    <col min="1" max="1" width="3.875" style="166" customWidth="1"/>
    <col min="2" max="2" width="21.125" style="165" customWidth="1"/>
    <col min="3" max="7" width="7.25" style="165" customWidth="1"/>
    <col min="8" max="8" width="8.375" style="165" customWidth="1"/>
    <col min="9" max="14" width="7.25" style="165" customWidth="1"/>
    <col min="15" max="15" width="18.375" style="165" customWidth="1"/>
    <col min="16" max="16" width="19.125" style="165" customWidth="1"/>
    <col min="17" max="17" width="4.375" style="165" customWidth="1"/>
    <col min="18" max="18" width="10.75" style="165" customWidth="1"/>
    <col min="19" max="256" width="9" style="165"/>
    <col min="257" max="257" width="3.875" style="165" customWidth="1"/>
    <col min="258" max="258" width="21.125" style="165" customWidth="1"/>
    <col min="259" max="263" width="7.25" style="165" customWidth="1"/>
    <col min="264" max="264" width="8.375" style="165" customWidth="1"/>
    <col min="265" max="270" width="7.25" style="165" customWidth="1"/>
    <col min="271" max="271" width="18.625" style="165" customWidth="1"/>
    <col min="272" max="272" width="19.125" style="165" customWidth="1"/>
    <col min="273" max="273" width="4.375" style="165" customWidth="1"/>
    <col min="274" max="274" width="10.75" style="165" customWidth="1"/>
    <col min="275" max="512" width="9" style="165"/>
    <col min="513" max="513" width="3.875" style="165" customWidth="1"/>
    <col min="514" max="514" width="21.125" style="165" customWidth="1"/>
    <col min="515" max="519" width="7.25" style="165" customWidth="1"/>
    <col min="520" max="520" width="8.375" style="165" customWidth="1"/>
    <col min="521" max="526" width="7.25" style="165" customWidth="1"/>
    <col min="527" max="527" width="18.625" style="165" customWidth="1"/>
    <col min="528" max="528" width="19.125" style="165" customWidth="1"/>
    <col min="529" max="529" width="4.375" style="165" customWidth="1"/>
    <col min="530" max="530" width="10.75" style="165" customWidth="1"/>
    <col min="531" max="768" width="9" style="165"/>
    <col min="769" max="769" width="3.875" style="165" customWidth="1"/>
    <col min="770" max="770" width="21.125" style="165" customWidth="1"/>
    <col min="771" max="775" width="7.25" style="165" customWidth="1"/>
    <col min="776" max="776" width="8.375" style="165" customWidth="1"/>
    <col min="777" max="782" width="7.25" style="165" customWidth="1"/>
    <col min="783" max="783" width="18.625" style="165" customWidth="1"/>
    <col min="784" max="784" width="19.125" style="165" customWidth="1"/>
    <col min="785" max="785" width="4.375" style="165" customWidth="1"/>
    <col min="786" max="786" width="10.75" style="165" customWidth="1"/>
    <col min="787" max="1024" width="9" style="165"/>
    <col min="1025" max="1025" width="3.875" style="165" customWidth="1"/>
    <col min="1026" max="1026" width="21.125" style="165" customWidth="1"/>
    <col min="1027" max="1031" width="7.25" style="165" customWidth="1"/>
    <col min="1032" max="1032" width="8.375" style="165" customWidth="1"/>
    <col min="1033" max="1038" width="7.25" style="165" customWidth="1"/>
    <col min="1039" max="1039" width="18.625" style="165" customWidth="1"/>
    <col min="1040" max="1040" width="19.125" style="165" customWidth="1"/>
    <col min="1041" max="1041" width="4.375" style="165" customWidth="1"/>
    <col min="1042" max="1042" width="10.75" style="165" customWidth="1"/>
    <col min="1043" max="1280" width="9" style="165"/>
    <col min="1281" max="1281" width="3.875" style="165" customWidth="1"/>
    <col min="1282" max="1282" width="21.125" style="165" customWidth="1"/>
    <col min="1283" max="1287" width="7.25" style="165" customWidth="1"/>
    <col min="1288" max="1288" width="8.375" style="165" customWidth="1"/>
    <col min="1289" max="1294" width="7.25" style="165" customWidth="1"/>
    <col min="1295" max="1295" width="18.625" style="165" customWidth="1"/>
    <col min="1296" max="1296" width="19.125" style="165" customWidth="1"/>
    <col min="1297" max="1297" width="4.375" style="165" customWidth="1"/>
    <col min="1298" max="1298" width="10.75" style="165" customWidth="1"/>
    <col min="1299" max="1536" width="9" style="165"/>
    <col min="1537" max="1537" width="3.875" style="165" customWidth="1"/>
    <col min="1538" max="1538" width="21.125" style="165" customWidth="1"/>
    <col min="1539" max="1543" width="7.25" style="165" customWidth="1"/>
    <col min="1544" max="1544" width="8.375" style="165" customWidth="1"/>
    <col min="1545" max="1550" width="7.25" style="165" customWidth="1"/>
    <col min="1551" max="1551" width="18.625" style="165" customWidth="1"/>
    <col min="1552" max="1552" width="19.125" style="165" customWidth="1"/>
    <col min="1553" max="1553" width="4.375" style="165" customWidth="1"/>
    <col min="1554" max="1554" width="10.75" style="165" customWidth="1"/>
    <col min="1555" max="1792" width="9" style="165"/>
    <col min="1793" max="1793" width="3.875" style="165" customWidth="1"/>
    <col min="1794" max="1794" width="21.125" style="165" customWidth="1"/>
    <col min="1795" max="1799" width="7.25" style="165" customWidth="1"/>
    <col min="1800" max="1800" width="8.375" style="165" customWidth="1"/>
    <col min="1801" max="1806" width="7.25" style="165" customWidth="1"/>
    <col min="1807" max="1807" width="18.625" style="165" customWidth="1"/>
    <col min="1808" max="1808" width="19.125" style="165" customWidth="1"/>
    <col min="1809" max="1809" width="4.375" style="165" customWidth="1"/>
    <col min="1810" max="1810" width="10.75" style="165" customWidth="1"/>
    <col min="1811" max="2048" width="9" style="165"/>
    <col min="2049" max="2049" width="3.875" style="165" customWidth="1"/>
    <col min="2050" max="2050" width="21.125" style="165" customWidth="1"/>
    <col min="2051" max="2055" width="7.25" style="165" customWidth="1"/>
    <col min="2056" max="2056" width="8.375" style="165" customWidth="1"/>
    <col min="2057" max="2062" width="7.25" style="165" customWidth="1"/>
    <col min="2063" max="2063" width="18.625" style="165" customWidth="1"/>
    <col min="2064" max="2064" width="19.125" style="165" customWidth="1"/>
    <col min="2065" max="2065" width="4.375" style="165" customWidth="1"/>
    <col min="2066" max="2066" width="10.75" style="165" customWidth="1"/>
    <col min="2067" max="2304" width="9" style="165"/>
    <col min="2305" max="2305" width="3.875" style="165" customWidth="1"/>
    <col min="2306" max="2306" width="21.125" style="165" customWidth="1"/>
    <col min="2307" max="2311" width="7.25" style="165" customWidth="1"/>
    <col min="2312" max="2312" width="8.375" style="165" customWidth="1"/>
    <col min="2313" max="2318" width="7.25" style="165" customWidth="1"/>
    <col min="2319" max="2319" width="18.625" style="165" customWidth="1"/>
    <col min="2320" max="2320" width="19.125" style="165" customWidth="1"/>
    <col min="2321" max="2321" width="4.375" style="165" customWidth="1"/>
    <col min="2322" max="2322" width="10.75" style="165" customWidth="1"/>
    <col min="2323" max="2560" width="9" style="165"/>
    <col min="2561" max="2561" width="3.875" style="165" customWidth="1"/>
    <col min="2562" max="2562" width="21.125" style="165" customWidth="1"/>
    <col min="2563" max="2567" width="7.25" style="165" customWidth="1"/>
    <col min="2568" max="2568" width="8.375" style="165" customWidth="1"/>
    <col min="2569" max="2574" width="7.25" style="165" customWidth="1"/>
    <col min="2575" max="2575" width="18.625" style="165" customWidth="1"/>
    <col min="2576" max="2576" width="19.125" style="165" customWidth="1"/>
    <col min="2577" max="2577" width="4.375" style="165" customWidth="1"/>
    <col min="2578" max="2578" width="10.75" style="165" customWidth="1"/>
    <col min="2579" max="2816" width="9" style="165"/>
    <col min="2817" max="2817" width="3.875" style="165" customWidth="1"/>
    <col min="2818" max="2818" width="21.125" style="165" customWidth="1"/>
    <col min="2819" max="2823" width="7.25" style="165" customWidth="1"/>
    <col min="2824" max="2824" width="8.375" style="165" customWidth="1"/>
    <col min="2825" max="2830" width="7.25" style="165" customWidth="1"/>
    <col min="2831" max="2831" width="18.625" style="165" customWidth="1"/>
    <col min="2832" max="2832" width="19.125" style="165" customWidth="1"/>
    <col min="2833" max="2833" width="4.375" style="165" customWidth="1"/>
    <col min="2834" max="2834" width="10.75" style="165" customWidth="1"/>
    <col min="2835" max="3072" width="9" style="165"/>
    <col min="3073" max="3073" width="3.875" style="165" customWidth="1"/>
    <col min="3074" max="3074" width="21.125" style="165" customWidth="1"/>
    <col min="3075" max="3079" width="7.25" style="165" customWidth="1"/>
    <col min="3080" max="3080" width="8.375" style="165" customWidth="1"/>
    <col min="3081" max="3086" width="7.25" style="165" customWidth="1"/>
    <col min="3087" max="3087" width="18.625" style="165" customWidth="1"/>
    <col min="3088" max="3088" width="19.125" style="165" customWidth="1"/>
    <col min="3089" max="3089" width="4.375" style="165" customWidth="1"/>
    <col min="3090" max="3090" width="10.75" style="165" customWidth="1"/>
    <col min="3091" max="3328" width="9" style="165"/>
    <col min="3329" max="3329" width="3.875" style="165" customWidth="1"/>
    <col min="3330" max="3330" width="21.125" style="165" customWidth="1"/>
    <col min="3331" max="3335" width="7.25" style="165" customWidth="1"/>
    <col min="3336" max="3336" width="8.375" style="165" customWidth="1"/>
    <col min="3337" max="3342" width="7.25" style="165" customWidth="1"/>
    <col min="3343" max="3343" width="18.625" style="165" customWidth="1"/>
    <col min="3344" max="3344" width="19.125" style="165" customWidth="1"/>
    <col min="3345" max="3345" width="4.375" style="165" customWidth="1"/>
    <col min="3346" max="3346" width="10.75" style="165" customWidth="1"/>
    <col min="3347" max="3584" width="9" style="165"/>
    <col min="3585" max="3585" width="3.875" style="165" customWidth="1"/>
    <col min="3586" max="3586" width="21.125" style="165" customWidth="1"/>
    <col min="3587" max="3591" width="7.25" style="165" customWidth="1"/>
    <col min="3592" max="3592" width="8.375" style="165" customWidth="1"/>
    <col min="3593" max="3598" width="7.25" style="165" customWidth="1"/>
    <col min="3599" max="3599" width="18.625" style="165" customWidth="1"/>
    <col min="3600" max="3600" width="19.125" style="165" customWidth="1"/>
    <col min="3601" max="3601" width="4.375" style="165" customWidth="1"/>
    <col min="3602" max="3602" width="10.75" style="165" customWidth="1"/>
    <col min="3603" max="3840" width="9" style="165"/>
    <col min="3841" max="3841" width="3.875" style="165" customWidth="1"/>
    <col min="3842" max="3842" width="21.125" style="165" customWidth="1"/>
    <col min="3843" max="3847" width="7.25" style="165" customWidth="1"/>
    <col min="3848" max="3848" width="8.375" style="165" customWidth="1"/>
    <col min="3849" max="3854" width="7.25" style="165" customWidth="1"/>
    <col min="3855" max="3855" width="18.625" style="165" customWidth="1"/>
    <col min="3856" max="3856" width="19.125" style="165" customWidth="1"/>
    <col min="3857" max="3857" width="4.375" style="165" customWidth="1"/>
    <col min="3858" max="3858" width="10.75" style="165" customWidth="1"/>
    <col min="3859" max="4096" width="9" style="165"/>
    <col min="4097" max="4097" width="3.875" style="165" customWidth="1"/>
    <col min="4098" max="4098" width="21.125" style="165" customWidth="1"/>
    <col min="4099" max="4103" width="7.25" style="165" customWidth="1"/>
    <col min="4104" max="4104" width="8.375" style="165" customWidth="1"/>
    <col min="4105" max="4110" width="7.25" style="165" customWidth="1"/>
    <col min="4111" max="4111" width="18.625" style="165" customWidth="1"/>
    <col min="4112" max="4112" width="19.125" style="165" customWidth="1"/>
    <col min="4113" max="4113" width="4.375" style="165" customWidth="1"/>
    <col min="4114" max="4114" width="10.75" style="165" customWidth="1"/>
    <col min="4115" max="4352" width="9" style="165"/>
    <col min="4353" max="4353" width="3.875" style="165" customWidth="1"/>
    <col min="4354" max="4354" width="21.125" style="165" customWidth="1"/>
    <col min="4355" max="4359" width="7.25" style="165" customWidth="1"/>
    <col min="4360" max="4360" width="8.375" style="165" customWidth="1"/>
    <col min="4361" max="4366" width="7.25" style="165" customWidth="1"/>
    <col min="4367" max="4367" width="18.625" style="165" customWidth="1"/>
    <col min="4368" max="4368" width="19.125" style="165" customWidth="1"/>
    <col min="4369" max="4369" width="4.375" style="165" customWidth="1"/>
    <col min="4370" max="4370" width="10.75" style="165" customWidth="1"/>
    <col min="4371" max="4608" width="9" style="165"/>
    <col min="4609" max="4609" width="3.875" style="165" customWidth="1"/>
    <col min="4610" max="4610" width="21.125" style="165" customWidth="1"/>
    <col min="4611" max="4615" width="7.25" style="165" customWidth="1"/>
    <col min="4616" max="4616" width="8.375" style="165" customWidth="1"/>
    <col min="4617" max="4622" width="7.25" style="165" customWidth="1"/>
    <col min="4623" max="4623" width="18.625" style="165" customWidth="1"/>
    <col min="4624" max="4624" width="19.125" style="165" customWidth="1"/>
    <col min="4625" max="4625" width="4.375" style="165" customWidth="1"/>
    <col min="4626" max="4626" width="10.75" style="165" customWidth="1"/>
    <col min="4627" max="4864" width="9" style="165"/>
    <col min="4865" max="4865" width="3.875" style="165" customWidth="1"/>
    <col min="4866" max="4866" width="21.125" style="165" customWidth="1"/>
    <col min="4867" max="4871" width="7.25" style="165" customWidth="1"/>
    <col min="4872" max="4872" width="8.375" style="165" customWidth="1"/>
    <col min="4873" max="4878" width="7.25" style="165" customWidth="1"/>
    <col min="4879" max="4879" width="18.625" style="165" customWidth="1"/>
    <col min="4880" max="4880" width="19.125" style="165" customWidth="1"/>
    <col min="4881" max="4881" width="4.375" style="165" customWidth="1"/>
    <col min="4882" max="4882" width="10.75" style="165" customWidth="1"/>
    <col min="4883" max="5120" width="9" style="165"/>
    <col min="5121" max="5121" width="3.875" style="165" customWidth="1"/>
    <col min="5122" max="5122" width="21.125" style="165" customWidth="1"/>
    <col min="5123" max="5127" width="7.25" style="165" customWidth="1"/>
    <col min="5128" max="5128" width="8.375" style="165" customWidth="1"/>
    <col min="5129" max="5134" width="7.25" style="165" customWidth="1"/>
    <col min="5135" max="5135" width="18.625" style="165" customWidth="1"/>
    <col min="5136" max="5136" width="19.125" style="165" customWidth="1"/>
    <col min="5137" max="5137" width="4.375" style="165" customWidth="1"/>
    <col min="5138" max="5138" width="10.75" style="165" customWidth="1"/>
    <col min="5139" max="5376" width="9" style="165"/>
    <col min="5377" max="5377" width="3.875" style="165" customWidth="1"/>
    <col min="5378" max="5378" width="21.125" style="165" customWidth="1"/>
    <col min="5379" max="5383" width="7.25" style="165" customWidth="1"/>
    <col min="5384" max="5384" width="8.375" style="165" customWidth="1"/>
    <col min="5385" max="5390" width="7.25" style="165" customWidth="1"/>
    <col min="5391" max="5391" width="18.625" style="165" customWidth="1"/>
    <col min="5392" max="5392" width="19.125" style="165" customWidth="1"/>
    <col min="5393" max="5393" width="4.375" style="165" customWidth="1"/>
    <col min="5394" max="5394" width="10.75" style="165" customWidth="1"/>
    <col min="5395" max="5632" width="9" style="165"/>
    <col min="5633" max="5633" width="3.875" style="165" customWidth="1"/>
    <col min="5634" max="5634" width="21.125" style="165" customWidth="1"/>
    <col min="5635" max="5639" width="7.25" style="165" customWidth="1"/>
    <col min="5640" max="5640" width="8.375" style="165" customWidth="1"/>
    <col min="5641" max="5646" width="7.25" style="165" customWidth="1"/>
    <col min="5647" max="5647" width="18.625" style="165" customWidth="1"/>
    <col min="5648" max="5648" width="19.125" style="165" customWidth="1"/>
    <col min="5649" max="5649" width="4.375" style="165" customWidth="1"/>
    <col min="5650" max="5650" width="10.75" style="165" customWidth="1"/>
    <col min="5651" max="5888" width="9" style="165"/>
    <col min="5889" max="5889" width="3.875" style="165" customWidth="1"/>
    <col min="5890" max="5890" width="21.125" style="165" customWidth="1"/>
    <col min="5891" max="5895" width="7.25" style="165" customWidth="1"/>
    <col min="5896" max="5896" width="8.375" style="165" customWidth="1"/>
    <col min="5897" max="5902" width="7.25" style="165" customWidth="1"/>
    <col min="5903" max="5903" width="18.625" style="165" customWidth="1"/>
    <col min="5904" max="5904" width="19.125" style="165" customWidth="1"/>
    <col min="5905" max="5905" width="4.375" style="165" customWidth="1"/>
    <col min="5906" max="5906" width="10.75" style="165" customWidth="1"/>
    <col min="5907" max="6144" width="9" style="165"/>
    <col min="6145" max="6145" width="3.875" style="165" customWidth="1"/>
    <col min="6146" max="6146" width="21.125" style="165" customWidth="1"/>
    <col min="6147" max="6151" width="7.25" style="165" customWidth="1"/>
    <col min="6152" max="6152" width="8.375" style="165" customWidth="1"/>
    <col min="6153" max="6158" width="7.25" style="165" customWidth="1"/>
    <col min="6159" max="6159" width="18.625" style="165" customWidth="1"/>
    <col min="6160" max="6160" width="19.125" style="165" customWidth="1"/>
    <col min="6161" max="6161" width="4.375" style="165" customWidth="1"/>
    <col min="6162" max="6162" width="10.75" style="165" customWidth="1"/>
    <col min="6163" max="6400" width="9" style="165"/>
    <col min="6401" max="6401" width="3.875" style="165" customWidth="1"/>
    <col min="6402" max="6402" width="21.125" style="165" customWidth="1"/>
    <col min="6403" max="6407" width="7.25" style="165" customWidth="1"/>
    <col min="6408" max="6408" width="8.375" style="165" customWidth="1"/>
    <col min="6409" max="6414" width="7.25" style="165" customWidth="1"/>
    <col min="6415" max="6415" width="18.625" style="165" customWidth="1"/>
    <col min="6416" max="6416" width="19.125" style="165" customWidth="1"/>
    <col min="6417" max="6417" width="4.375" style="165" customWidth="1"/>
    <col min="6418" max="6418" width="10.75" style="165" customWidth="1"/>
    <col min="6419" max="6656" width="9" style="165"/>
    <col min="6657" max="6657" width="3.875" style="165" customWidth="1"/>
    <col min="6658" max="6658" width="21.125" style="165" customWidth="1"/>
    <col min="6659" max="6663" width="7.25" style="165" customWidth="1"/>
    <col min="6664" max="6664" width="8.375" style="165" customWidth="1"/>
    <col min="6665" max="6670" width="7.25" style="165" customWidth="1"/>
    <col min="6671" max="6671" width="18.625" style="165" customWidth="1"/>
    <col min="6672" max="6672" width="19.125" style="165" customWidth="1"/>
    <col min="6673" max="6673" width="4.375" style="165" customWidth="1"/>
    <col min="6674" max="6674" width="10.75" style="165" customWidth="1"/>
    <col min="6675" max="6912" width="9" style="165"/>
    <col min="6913" max="6913" width="3.875" style="165" customWidth="1"/>
    <col min="6914" max="6914" width="21.125" style="165" customWidth="1"/>
    <col min="6915" max="6919" width="7.25" style="165" customWidth="1"/>
    <col min="6920" max="6920" width="8.375" style="165" customWidth="1"/>
    <col min="6921" max="6926" width="7.25" style="165" customWidth="1"/>
    <col min="6927" max="6927" width="18.625" style="165" customWidth="1"/>
    <col min="6928" max="6928" width="19.125" style="165" customWidth="1"/>
    <col min="6929" max="6929" width="4.375" style="165" customWidth="1"/>
    <col min="6930" max="6930" width="10.75" style="165" customWidth="1"/>
    <col min="6931" max="7168" width="9" style="165"/>
    <col min="7169" max="7169" width="3.875" style="165" customWidth="1"/>
    <col min="7170" max="7170" width="21.125" style="165" customWidth="1"/>
    <col min="7171" max="7175" width="7.25" style="165" customWidth="1"/>
    <col min="7176" max="7176" width="8.375" style="165" customWidth="1"/>
    <col min="7177" max="7182" width="7.25" style="165" customWidth="1"/>
    <col min="7183" max="7183" width="18.625" style="165" customWidth="1"/>
    <col min="7184" max="7184" width="19.125" style="165" customWidth="1"/>
    <col min="7185" max="7185" width="4.375" style="165" customWidth="1"/>
    <col min="7186" max="7186" width="10.75" style="165" customWidth="1"/>
    <col min="7187" max="7424" width="9" style="165"/>
    <col min="7425" max="7425" width="3.875" style="165" customWidth="1"/>
    <col min="7426" max="7426" width="21.125" style="165" customWidth="1"/>
    <col min="7427" max="7431" width="7.25" style="165" customWidth="1"/>
    <col min="7432" max="7432" width="8.375" style="165" customWidth="1"/>
    <col min="7433" max="7438" width="7.25" style="165" customWidth="1"/>
    <col min="7439" max="7439" width="18.625" style="165" customWidth="1"/>
    <col min="7440" max="7440" width="19.125" style="165" customWidth="1"/>
    <col min="7441" max="7441" width="4.375" style="165" customWidth="1"/>
    <col min="7442" max="7442" width="10.75" style="165" customWidth="1"/>
    <col min="7443" max="7680" width="9" style="165"/>
    <col min="7681" max="7681" width="3.875" style="165" customWidth="1"/>
    <col min="7682" max="7682" width="21.125" style="165" customWidth="1"/>
    <col min="7683" max="7687" width="7.25" style="165" customWidth="1"/>
    <col min="7688" max="7688" width="8.375" style="165" customWidth="1"/>
    <col min="7689" max="7694" width="7.25" style="165" customWidth="1"/>
    <col min="7695" max="7695" width="18.625" style="165" customWidth="1"/>
    <col min="7696" max="7696" width="19.125" style="165" customWidth="1"/>
    <col min="7697" max="7697" width="4.375" style="165" customWidth="1"/>
    <col min="7698" max="7698" width="10.75" style="165" customWidth="1"/>
    <col min="7699" max="7936" width="9" style="165"/>
    <col min="7937" max="7937" width="3.875" style="165" customWidth="1"/>
    <col min="7938" max="7938" width="21.125" style="165" customWidth="1"/>
    <col min="7939" max="7943" width="7.25" style="165" customWidth="1"/>
    <col min="7944" max="7944" width="8.375" style="165" customWidth="1"/>
    <col min="7945" max="7950" width="7.25" style="165" customWidth="1"/>
    <col min="7951" max="7951" width="18.625" style="165" customWidth="1"/>
    <col min="7952" max="7952" width="19.125" style="165" customWidth="1"/>
    <col min="7953" max="7953" width="4.375" style="165" customWidth="1"/>
    <col min="7954" max="7954" width="10.75" style="165" customWidth="1"/>
    <col min="7955" max="8192" width="9" style="165"/>
    <col min="8193" max="8193" width="3.875" style="165" customWidth="1"/>
    <col min="8194" max="8194" width="21.125" style="165" customWidth="1"/>
    <col min="8195" max="8199" width="7.25" style="165" customWidth="1"/>
    <col min="8200" max="8200" width="8.375" style="165" customWidth="1"/>
    <col min="8201" max="8206" width="7.25" style="165" customWidth="1"/>
    <col min="8207" max="8207" width="18.625" style="165" customWidth="1"/>
    <col min="8208" max="8208" width="19.125" style="165" customWidth="1"/>
    <col min="8209" max="8209" width="4.375" style="165" customWidth="1"/>
    <col min="8210" max="8210" width="10.75" style="165" customWidth="1"/>
    <col min="8211" max="8448" width="9" style="165"/>
    <col min="8449" max="8449" width="3.875" style="165" customWidth="1"/>
    <col min="8450" max="8450" width="21.125" style="165" customWidth="1"/>
    <col min="8451" max="8455" width="7.25" style="165" customWidth="1"/>
    <col min="8456" max="8456" width="8.375" style="165" customWidth="1"/>
    <col min="8457" max="8462" width="7.25" style="165" customWidth="1"/>
    <col min="8463" max="8463" width="18.625" style="165" customWidth="1"/>
    <col min="8464" max="8464" width="19.125" style="165" customWidth="1"/>
    <col min="8465" max="8465" width="4.375" style="165" customWidth="1"/>
    <col min="8466" max="8466" width="10.75" style="165" customWidth="1"/>
    <col min="8467" max="8704" width="9" style="165"/>
    <col min="8705" max="8705" width="3.875" style="165" customWidth="1"/>
    <col min="8706" max="8706" width="21.125" style="165" customWidth="1"/>
    <col min="8707" max="8711" width="7.25" style="165" customWidth="1"/>
    <col min="8712" max="8712" width="8.375" style="165" customWidth="1"/>
    <col min="8713" max="8718" width="7.25" style="165" customWidth="1"/>
    <col min="8719" max="8719" width="18.625" style="165" customWidth="1"/>
    <col min="8720" max="8720" width="19.125" style="165" customWidth="1"/>
    <col min="8721" max="8721" width="4.375" style="165" customWidth="1"/>
    <col min="8722" max="8722" width="10.75" style="165" customWidth="1"/>
    <col min="8723" max="8960" width="9" style="165"/>
    <col min="8961" max="8961" width="3.875" style="165" customWidth="1"/>
    <col min="8962" max="8962" width="21.125" style="165" customWidth="1"/>
    <col min="8963" max="8967" width="7.25" style="165" customWidth="1"/>
    <col min="8968" max="8968" width="8.375" style="165" customWidth="1"/>
    <col min="8969" max="8974" width="7.25" style="165" customWidth="1"/>
    <col min="8975" max="8975" width="18.625" style="165" customWidth="1"/>
    <col min="8976" max="8976" width="19.125" style="165" customWidth="1"/>
    <col min="8977" max="8977" width="4.375" style="165" customWidth="1"/>
    <col min="8978" max="8978" width="10.75" style="165" customWidth="1"/>
    <col min="8979" max="9216" width="9" style="165"/>
    <col min="9217" max="9217" width="3.875" style="165" customWidth="1"/>
    <col min="9218" max="9218" width="21.125" style="165" customWidth="1"/>
    <col min="9219" max="9223" width="7.25" style="165" customWidth="1"/>
    <col min="9224" max="9224" width="8.375" style="165" customWidth="1"/>
    <col min="9225" max="9230" width="7.25" style="165" customWidth="1"/>
    <col min="9231" max="9231" width="18.625" style="165" customWidth="1"/>
    <col min="9232" max="9232" width="19.125" style="165" customWidth="1"/>
    <col min="9233" max="9233" width="4.375" style="165" customWidth="1"/>
    <col min="9234" max="9234" width="10.75" style="165" customWidth="1"/>
    <col min="9235" max="9472" width="9" style="165"/>
    <col min="9473" max="9473" width="3.875" style="165" customWidth="1"/>
    <col min="9474" max="9474" width="21.125" style="165" customWidth="1"/>
    <col min="9475" max="9479" width="7.25" style="165" customWidth="1"/>
    <col min="9480" max="9480" width="8.375" style="165" customWidth="1"/>
    <col min="9481" max="9486" width="7.25" style="165" customWidth="1"/>
    <col min="9487" max="9487" width="18.625" style="165" customWidth="1"/>
    <col min="9488" max="9488" width="19.125" style="165" customWidth="1"/>
    <col min="9489" max="9489" width="4.375" style="165" customWidth="1"/>
    <col min="9490" max="9490" width="10.75" style="165" customWidth="1"/>
    <col min="9491" max="9728" width="9" style="165"/>
    <col min="9729" max="9729" width="3.875" style="165" customWidth="1"/>
    <col min="9730" max="9730" width="21.125" style="165" customWidth="1"/>
    <col min="9731" max="9735" width="7.25" style="165" customWidth="1"/>
    <col min="9736" max="9736" width="8.375" style="165" customWidth="1"/>
    <col min="9737" max="9742" width="7.25" style="165" customWidth="1"/>
    <col min="9743" max="9743" width="18.625" style="165" customWidth="1"/>
    <col min="9744" max="9744" width="19.125" style="165" customWidth="1"/>
    <col min="9745" max="9745" width="4.375" style="165" customWidth="1"/>
    <col min="9746" max="9746" width="10.75" style="165" customWidth="1"/>
    <col min="9747" max="9984" width="9" style="165"/>
    <col min="9985" max="9985" width="3.875" style="165" customWidth="1"/>
    <col min="9986" max="9986" width="21.125" style="165" customWidth="1"/>
    <col min="9987" max="9991" width="7.25" style="165" customWidth="1"/>
    <col min="9992" max="9992" width="8.375" style="165" customWidth="1"/>
    <col min="9993" max="9998" width="7.25" style="165" customWidth="1"/>
    <col min="9999" max="9999" width="18.625" style="165" customWidth="1"/>
    <col min="10000" max="10000" width="19.125" style="165" customWidth="1"/>
    <col min="10001" max="10001" width="4.375" style="165" customWidth="1"/>
    <col min="10002" max="10002" width="10.75" style="165" customWidth="1"/>
    <col min="10003" max="10240" width="9" style="165"/>
    <col min="10241" max="10241" width="3.875" style="165" customWidth="1"/>
    <col min="10242" max="10242" width="21.125" style="165" customWidth="1"/>
    <col min="10243" max="10247" width="7.25" style="165" customWidth="1"/>
    <col min="10248" max="10248" width="8.375" style="165" customWidth="1"/>
    <col min="10249" max="10254" width="7.25" style="165" customWidth="1"/>
    <col min="10255" max="10255" width="18.625" style="165" customWidth="1"/>
    <col min="10256" max="10256" width="19.125" style="165" customWidth="1"/>
    <col min="10257" max="10257" width="4.375" style="165" customWidth="1"/>
    <col min="10258" max="10258" width="10.75" style="165" customWidth="1"/>
    <col min="10259" max="10496" width="9" style="165"/>
    <col min="10497" max="10497" width="3.875" style="165" customWidth="1"/>
    <col min="10498" max="10498" width="21.125" style="165" customWidth="1"/>
    <col min="10499" max="10503" width="7.25" style="165" customWidth="1"/>
    <col min="10504" max="10504" width="8.375" style="165" customWidth="1"/>
    <col min="10505" max="10510" width="7.25" style="165" customWidth="1"/>
    <col min="10511" max="10511" width="18.625" style="165" customWidth="1"/>
    <col min="10512" max="10512" width="19.125" style="165" customWidth="1"/>
    <col min="10513" max="10513" width="4.375" style="165" customWidth="1"/>
    <col min="10514" max="10514" width="10.75" style="165" customWidth="1"/>
    <col min="10515" max="10752" width="9" style="165"/>
    <col min="10753" max="10753" width="3.875" style="165" customWidth="1"/>
    <col min="10754" max="10754" width="21.125" style="165" customWidth="1"/>
    <col min="10755" max="10759" width="7.25" style="165" customWidth="1"/>
    <col min="10760" max="10760" width="8.375" style="165" customWidth="1"/>
    <col min="10761" max="10766" width="7.25" style="165" customWidth="1"/>
    <col min="10767" max="10767" width="18.625" style="165" customWidth="1"/>
    <col min="10768" max="10768" width="19.125" style="165" customWidth="1"/>
    <col min="10769" max="10769" width="4.375" style="165" customWidth="1"/>
    <col min="10770" max="10770" width="10.75" style="165" customWidth="1"/>
    <col min="10771" max="11008" width="9" style="165"/>
    <col min="11009" max="11009" width="3.875" style="165" customWidth="1"/>
    <col min="11010" max="11010" width="21.125" style="165" customWidth="1"/>
    <col min="11011" max="11015" width="7.25" style="165" customWidth="1"/>
    <col min="11016" max="11016" width="8.375" style="165" customWidth="1"/>
    <col min="11017" max="11022" width="7.25" style="165" customWidth="1"/>
    <col min="11023" max="11023" width="18.625" style="165" customWidth="1"/>
    <col min="11024" max="11024" width="19.125" style="165" customWidth="1"/>
    <col min="11025" max="11025" width="4.375" style="165" customWidth="1"/>
    <col min="11026" max="11026" width="10.75" style="165" customWidth="1"/>
    <col min="11027" max="11264" width="9" style="165"/>
    <col min="11265" max="11265" width="3.875" style="165" customWidth="1"/>
    <col min="11266" max="11266" width="21.125" style="165" customWidth="1"/>
    <col min="11267" max="11271" width="7.25" style="165" customWidth="1"/>
    <col min="11272" max="11272" width="8.375" style="165" customWidth="1"/>
    <col min="11273" max="11278" width="7.25" style="165" customWidth="1"/>
    <col min="11279" max="11279" width="18.625" style="165" customWidth="1"/>
    <col min="11280" max="11280" width="19.125" style="165" customWidth="1"/>
    <col min="11281" max="11281" width="4.375" style="165" customWidth="1"/>
    <col min="11282" max="11282" width="10.75" style="165" customWidth="1"/>
    <col min="11283" max="11520" width="9" style="165"/>
    <col min="11521" max="11521" width="3.875" style="165" customWidth="1"/>
    <col min="11522" max="11522" width="21.125" style="165" customWidth="1"/>
    <col min="11523" max="11527" width="7.25" style="165" customWidth="1"/>
    <col min="11528" max="11528" width="8.375" style="165" customWidth="1"/>
    <col min="11529" max="11534" width="7.25" style="165" customWidth="1"/>
    <col min="11535" max="11535" width="18.625" style="165" customWidth="1"/>
    <col min="11536" max="11536" width="19.125" style="165" customWidth="1"/>
    <col min="11537" max="11537" width="4.375" style="165" customWidth="1"/>
    <col min="11538" max="11538" width="10.75" style="165" customWidth="1"/>
    <col min="11539" max="11776" width="9" style="165"/>
    <col min="11777" max="11777" width="3.875" style="165" customWidth="1"/>
    <col min="11778" max="11778" width="21.125" style="165" customWidth="1"/>
    <col min="11779" max="11783" width="7.25" style="165" customWidth="1"/>
    <col min="11784" max="11784" width="8.375" style="165" customWidth="1"/>
    <col min="11785" max="11790" width="7.25" style="165" customWidth="1"/>
    <col min="11791" max="11791" width="18.625" style="165" customWidth="1"/>
    <col min="11792" max="11792" width="19.125" style="165" customWidth="1"/>
    <col min="11793" max="11793" width="4.375" style="165" customWidth="1"/>
    <col min="11794" max="11794" width="10.75" style="165" customWidth="1"/>
    <col min="11795" max="12032" width="9" style="165"/>
    <col min="12033" max="12033" width="3.875" style="165" customWidth="1"/>
    <col min="12034" max="12034" width="21.125" style="165" customWidth="1"/>
    <col min="12035" max="12039" width="7.25" style="165" customWidth="1"/>
    <col min="12040" max="12040" width="8.375" style="165" customWidth="1"/>
    <col min="12041" max="12046" width="7.25" style="165" customWidth="1"/>
    <col min="12047" max="12047" width="18.625" style="165" customWidth="1"/>
    <col min="12048" max="12048" width="19.125" style="165" customWidth="1"/>
    <col min="12049" max="12049" width="4.375" style="165" customWidth="1"/>
    <col min="12050" max="12050" width="10.75" style="165" customWidth="1"/>
    <col min="12051" max="12288" width="9" style="165"/>
    <col min="12289" max="12289" width="3.875" style="165" customWidth="1"/>
    <col min="12290" max="12290" width="21.125" style="165" customWidth="1"/>
    <col min="12291" max="12295" width="7.25" style="165" customWidth="1"/>
    <col min="12296" max="12296" width="8.375" style="165" customWidth="1"/>
    <col min="12297" max="12302" width="7.25" style="165" customWidth="1"/>
    <col min="12303" max="12303" width="18.625" style="165" customWidth="1"/>
    <col min="12304" max="12304" width="19.125" style="165" customWidth="1"/>
    <col min="12305" max="12305" width="4.375" style="165" customWidth="1"/>
    <col min="12306" max="12306" width="10.75" style="165" customWidth="1"/>
    <col min="12307" max="12544" width="9" style="165"/>
    <col min="12545" max="12545" width="3.875" style="165" customWidth="1"/>
    <col min="12546" max="12546" width="21.125" style="165" customWidth="1"/>
    <col min="12547" max="12551" width="7.25" style="165" customWidth="1"/>
    <col min="12552" max="12552" width="8.375" style="165" customWidth="1"/>
    <col min="12553" max="12558" width="7.25" style="165" customWidth="1"/>
    <col min="12559" max="12559" width="18.625" style="165" customWidth="1"/>
    <col min="12560" max="12560" width="19.125" style="165" customWidth="1"/>
    <col min="12561" max="12561" width="4.375" style="165" customWidth="1"/>
    <col min="12562" max="12562" width="10.75" style="165" customWidth="1"/>
    <col min="12563" max="12800" width="9" style="165"/>
    <col min="12801" max="12801" width="3.875" style="165" customWidth="1"/>
    <col min="12802" max="12802" width="21.125" style="165" customWidth="1"/>
    <col min="12803" max="12807" width="7.25" style="165" customWidth="1"/>
    <col min="12808" max="12808" width="8.375" style="165" customWidth="1"/>
    <col min="12809" max="12814" width="7.25" style="165" customWidth="1"/>
    <col min="12815" max="12815" width="18.625" style="165" customWidth="1"/>
    <col min="12816" max="12816" width="19.125" style="165" customWidth="1"/>
    <col min="12817" max="12817" width="4.375" style="165" customWidth="1"/>
    <col min="12818" max="12818" width="10.75" style="165" customWidth="1"/>
    <col min="12819" max="13056" width="9" style="165"/>
    <col min="13057" max="13057" width="3.875" style="165" customWidth="1"/>
    <col min="13058" max="13058" width="21.125" style="165" customWidth="1"/>
    <col min="13059" max="13063" width="7.25" style="165" customWidth="1"/>
    <col min="13064" max="13064" width="8.375" style="165" customWidth="1"/>
    <col min="13065" max="13070" width="7.25" style="165" customWidth="1"/>
    <col min="13071" max="13071" width="18.625" style="165" customWidth="1"/>
    <col min="13072" max="13072" width="19.125" style="165" customWidth="1"/>
    <col min="13073" max="13073" width="4.375" style="165" customWidth="1"/>
    <col min="13074" max="13074" width="10.75" style="165" customWidth="1"/>
    <col min="13075" max="13312" width="9" style="165"/>
    <col min="13313" max="13313" width="3.875" style="165" customWidth="1"/>
    <col min="13314" max="13314" width="21.125" style="165" customWidth="1"/>
    <col min="13315" max="13319" width="7.25" style="165" customWidth="1"/>
    <col min="13320" max="13320" width="8.375" style="165" customWidth="1"/>
    <col min="13321" max="13326" width="7.25" style="165" customWidth="1"/>
    <col min="13327" max="13327" width="18.625" style="165" customWidth="1"/>
    <col min="13328" max="13328" width="19.125" style="165" customWidth="1"/>
    <col min="13329" max="13329" width="4.375" style="165" customWidth="1"/>
    <col min="13330" max="13330" width="10.75" style="165" customWidth="1"/>
    <col min="13331" max="13568" width="9" style="165"/>
    <col min="13569" max="13569" width="3.875" style="165" customWidth="1"/>
    <col min="13570" max="13570" width="21.125" style="165" customWidth="1"/>
    <col min="13571" max="13575" width="7.25" style="165" customWidth="1"/>
    <col min="13576" max="13576" width="8.375" style="165" customWidth="1"/>
    <col min="13577" max="13582" width="7.25" style="165" customWidth="1"/>
    <col min="13583" max="13583" width="18.625" style="165" customWidth="1"/>
    <col min="13584" max="13584" width="19.125" style="165" customWidth="1"/>
    <col min="13585" max="13585" width="4.375" style="165" customWidth="1"/>
    <col min="13586" max="13586" width="10.75" style="165" customWidth="1"/>
    <col min="13587" max="13824" width="9" style="165"/>
    <col min="13825" max="13825" width="3.875" style="165" customWidth="1"/>
    <col min="13826" max="13826" width="21.125" style="165" customWidth="1"/>
    <col min="13827" max="13831" width="7.25" style="165" customWidth="1"/>
    <col min="13832" max="13832" width="8.375" style="165" customWidth="1"/>
    <col min="13833" max="13838" width="7.25" style="165" customWidth="1"/>
    <col min="13839" max="13839" width="18.625" style="165" customWidth="1"/>
    <col min="13840" max="13840" width="19.125" style="165" customWidth="1"/>
    <col min="13841" max="13841" width="4.375" style="165" customWidth="1"/>
    <col min="13842" max="13842" width="10.75" style="165" customWidth="1"/>
    <col min="13843" max="14080" width="9" style="165"/>
    <col min="14081" max="14081" width="3.875" style="165" customWidth="1"/>
    <col min="14082" max="14082" width="21.125" style="165" customWidth="1"/>
    <col min="14083" max="14087" width="7.25" style="165" customWidth="1"/>
    <col min="14088" max="14088" width="8.375" style="165" customWidth="1"/>
    <col min="14089" max="14094" width="7.25" style="165" customWidth="1"/>
    <col min="14095" max="14095" width="18.625" style="165" customWidth="1"/>
    <col min="14096" max="14096" width="19.125" style="165" customWidth="1"/>
    <col min="14097" max="14097" width="4.375" style="165" customWidth="1"/>
    <col min="14098" max="14098" width="10.75" style="165" customWidth="1"/>
    <col min="14099" max="14336" width="9" style="165"/>
    <col min="14337" max="14337" width="3.875" style="165" customWidth="1"/>
    <col min="14338" max="14338" width="21.125" style="165" customWidth="1"/>
    <col min="14339" max="14343" width="7.25" style="165" customWidth="1"/>
    <col min="14344" max="14344" width="8.375" style="165" customWidth="1"/>
    <col min="14345" max="14350" width="7.25" style="165" customWidth="1"/>
    <col min="14351" max="14351" width="18.625" style="165" customWidth="1"/>
    <col min="14352" max="14352" width="19.125" style="165" customWidth="1"/>
    <col min="14353" max="14353" width="4.375" style="165" customWidth="1"/>
    <col min="14354" max="14354" width="10.75" style="165" customWidth="1"/>
    <col min="14355" max="14592" width="9" style="165"/>
    <col min="14593" max="14593" width="3.875" style="165" customWidth="1"/>
    <col min="14594" max="14594" width="21.125" style="165" customWidth="1"/>
    <col min="14595" max="14599" width="7.25" style="165" customWidth="1"/>
    <col min="14600" max="14600" width="8.375" style="165" customWidth="1"/>
    <col min="14601" max="14606" width="7.25" style="165" customWidth="1"/>
    <col min="14607" max="14607" width="18.625" style="165" customWidth="1"/>
    <col min="14608" max="14608" width="19.125" style="165" customWidth="1"/>
    <col min="14609" max="14609" width="4.375" style="165" customWidth="1"/>
    <col min="14610" max="14610" width="10.75" style="165" customWidth="1"/>
    <col min="14611" max="14848" width="9" style="165"/>
    <col min="14849" max="14849" width="3.875" style="165" customWidth="1"/>
    <col min="14850" max="14850" width="21.125" style="165" customWidth="1"/>
    <col min="14851" max="14855" width="7.25" style="165" customWidth="1"/>
    <col min="14856" max="14856" width="8.375" style="165" customWidth="1"/>
    <col min="14857" max="14862" width="7.25" style="165" customWidth="1"/>
    <col min="14863" max="14863" width="18.625" style="165" customWidth="1"/>
    <col min="14864" max="14864" width="19.125" style="165" customWidth="1"/>
    <col min="14865" max="14865" width="4.375" style="165" customWidth="1"/>
    <col min="14866" max="14866" width="10.75" style="165" customWidth="1"/>
    <col min="14867" max="15104" width="9" style="165"/>
    <col min="15105" max="15105" width="3.875" style="165" customWidth="1"/>
    <col min="15106" max="15106" width="21.125" style="165" customWidth="1"/>
    <col min="15107" max="15111" width="7.25" style="165" customWidth="1"/>
    <col min="15112" max="15112" width="8.375" style="165" customWidth="1"/>
    <col min="15113" max="15118" width="7.25" style="165" customWidth="1"/>
    <col min="15119" max="15119" width="18.625" style="165" customWidth="1"/>
    <col min="15120" max="15120" width="19.125" style="165" customWidth="1"/>
    <col min="15121" max="15121" width="4.375" style="165" customWidth="1"/>
    <col min="15122" max="15122" width="10.75" style="165" customWidth="1"/>
    <col min="15123" max="15360" width="9" style="165"/>
    <col min="15361" max="15361" width="3.875" style="165" customWidth="1"/>
    <col min="15362" max="15362" width="21.125" style="165" customWidth="1"/>
    <col min="15363" max="15367" width="7.25" style="165" customWidth="1"/>
    <col min="15368" max="15368" width="8.375" style="165" customWidth="1"/>
    <col min="15369" max="15374" width="7.25" style="165" customWidth="1"/>
    <col min="15375" max="15375" width="18.625" style="165" customWidth="1"/>
    <col min="15376" max="15376" width="19.125" style="165" customWidth="1"/>
    <col min="15377" max="15377" width="4.375" style="165" customWidth="1"/>
    <col min="15378" max="15378" width="10.75" style="165" customWidth="1"/>
    <col min="15379" max="15616" width="9" style="165"/>
    <col min="15617" max="15617" width="3.875" style="165" customWidth="1"/>
    <col min="15618" max="15618" width="21.125" style="165" customWidth="1"/>
    <col min="15619" max="15623" width="7.25" style="165" customWidth="1"/>
    <col min="15624" max="15624" width="8.375" style="165" customWidth="1"/>
    <col min="15625" max="15630" width="7.25" style="165" customWidth="1"/>
    <col min="15631" max="15631" width="18.625" style="165" customWidth="1"/>
    <col min="15632" max="15632" width="19.125" style="165" customWidth="1"/>
    <col min="15633" max="15633" width="4.375" style="165" customWidth="1"/>
    <col min="15634" max="15634" width="10.75" style="165" customWidth="1"/>
    <col min="15635" max="15872" width="9" style="165"/>
    <col min="15873" max="15873" width="3.875" style="165" customWidth="1"/>
    <col min="15874" max="15874" width="21.125" style="165" customWidth="1"/>
    <col min="15875" max="15879" width="7.25" style="165" customWidth="1"/>
    <col min="15880" max="15880" width="8.375" style="165" customWidth="1"/>
    <col min="15881" max="15886" width="7.25" style="165" customWidth="1"/>
    <col min="15887" max="15887" width="18.625" style="165" customWidth="1"/>
    <col min="15888" max="15888" width="19.125" style="165" customWidth="1"/>
    <col min="15889" max="15889" width="4.375" style="165" customWidth="1"/>
    <col min="15890" max="15890" width="10.75" style="165" customWidth="1"/>
    <col min="15891" max="16128" width="9" style="165"/>
    <col min="16129" max="16129" width="3.875" style="165" customWidth="1"/>
    <col min="16130" max="16130" width="21.125" style="165" customWidth="1"/>
    <col min="16131" max="16135" width="7.25" style="165" customWidth="1"/>
    <col min="16136" max="16136" width="8.375" style="165" customWidth="1"/>
    <col min="16137" max="16142" width="7.25" style="165" customWidth="1"/>
    <col min="16143" max="16143" width="18.625" style="165" customWidth="1"/>
    <col min="16144" max="16144" width="19.125" style="165" customWidth="1"/>
    <col min="16145" max="16145" width="4.375" style="165" customWidth="1"/>
    <col min="16146" max="16146" width="10.75" style="165" customWidth="1"/>
    <col min="16147" max="16384" width="9" style="165"/>
  </cols>
  <sheetData>
    <row r="1" spans="1:19" ht="24" customHeight="1">
      <c r="A1" s="865" t="s">
        <v>137</v>
      </c>
      <c r="B1" s="865"/>
      <c r="C1" s="865"/>
      <c r="D1" s="865"/>
      <c r="E1" s="865"/>
      <c r="F1" s="865"/>
      <c r="G1" s="865"/>
      <c r="H1" s="865"/>
      <c r="I1" s="865"/>
      <c r="J1" s="865"/>
      <c r="K1" s="865"/>
      <c r="L1" s="865"/>
      <c r="M1" s="865"/>
      <c r="N1" s="865"/>
      <c r="O1" s="865"/>
      <c r="P1" s="865"/>
    </row>
    <row r="2" spans="1:19" ht="24" customHeight="1">
      <c r="A2" s="483" t="s">
        <v>793</v>
      </c>
      <c r="B2" s="338"/>
      <c r="C2" s="188"/>
      <c r="D2" s="188"/>
      <c r="E2" s="188"/>
      <c r="F2" s="188"/>
      <c r="G2" s="188"/>
      <c r="H2" s="188"/>
      <c r="I2" s="188"/>
      <c r="J2" s="188"/>
      <c r="K2" s="188"/>
      <c r="L2" s="188"/>
      <c r="M2" s="188"/>
      <c r="N2" s="188"/>
      <c r="O2" s="188"/>
      <c r="P2" s="188"/>
    </row>
    <row r="3" spans="1:19" s="480" customFormat="1" ht="14.25" customHeight="1">
      <c r="A3" s="480" t="s">
        <v>136</v>
      </c>
      <c r="B3" s="187"/>
      <c r="C3" s="187"/>
      <c r="D3" s="186"/>
      <c r="E3" s="186"/>
      <c r="F3" s="186"/>
      <c r="G3" s="186"/>
    </row>
    <row r="4" spans="1:19">
      <c r="A4" s="480" t="s">
        <v>135</v>
      </c>
    </row>
    <row r="5" spans="1:19" ht="12.75" thickBot="1">
      <c r="A5" s="643" t="s">
        <v>932</v>
      </c>
    </row>
    <row r="6" spans="1:19" ht="15" customHeight="1" thickTop="1">
      <c r="A6" s="866" t="s">
        <v>134</v>
      </c>
      <c r="B6" s="868" t="s">
        <v>133</v>
      </c>
      <c r="C6" s="870" t="s">
        <v>1</v>
      </c>
      <c r="D6" s="871"/>
      <c r="E6" s="870" t="s">
        <v>4</v>
      </c>
      <c r="F6" s="871"/>
      <c r="G6" s="870" t="s">
        <v>737</v>
      </c>
      <c r="H6" s="871"/>
      <c r="I6" s="870" t="s">
        <v>738</v>
      </c>
      <c r="J6" s="871"/>
      <c r="K6" s="870" t="s">
        <v>739</v>
      </c>
      <c r="L6" s="871"/>
      <c r="M6" s="870" t="s">
        <v>128</v>
      </c>
      <c r="N6" s="871"/>
      <c r="O6" s="872" t="s">
        <v>498</v>
      </c>
      <c r="P6" s="874" t="s">
        <v>499</v>
      </c>
      <c r="R6" s="859" t="s">
        <v>500</v>
      </c>
      <c r="S6" s="860"/>
    </row>
    <row r="7" spans="1:19" ht="15" customHeight="1">
      <c r="A7" s="867"/>
      <c r="B7" s="869"/>
      <c r="C7" s="339" t="s">
        <v>132</v>
      </c>
      <c r="D7" s="339" t="s">
        <v>131</v>
      </c>
      <c r="E7" s="340" t="s">
        <v>132</v>
      </c>
      <c r="F7" s="339" t="s">
        <v>131</v>
      </c>
      <c r="G7" s="339" t="s">
        <v>132</v>
      </c>
      <c r="H7" s="339" t="s">
        <v>740</v>
      </c>
      <c r="I7" s="341" t="s">
        <v>132</v>
      </c>
      <c r="J7" s="341" t="s">
        <v>131</v>
      </c>
      <c r="K7" s="341" t="s">
        <v>132</v>
      </c>
      <c r="L7" s="341" t="s">
        <v>131</v>
      </c>
      <c r="M7" s="339" t="s">
        <v>741</v>
      </c>
      <c r="N7" s="341" t="s">
        <v>742</v>
      </c>
      <c r="O7" s="873"/>
      <c r="P7" s="875"/>
      <c r="R7" s="861"/>
      <c r="S7" s="862"/>
    </row>
    <row r="8" spans="1:19" ht="15" customHeight="1">
      <c r="A8" s="342">
        <v>1</v>
      </c>
      <c r="B8" s="343" t="s">
        <v>743</v>
      </c>
      <c r="C8" s="184">
        <f>$M8*S8</f>
        <v>78.697999999999993</v>
      </c>
      <c r="D8" s="481">
        <v>78.697999999999993</v>
      </c>
      <c r="E8" s="184">
        <f>$M8*S10</f>
        <v>18.638999999999999</v>
      </c>
      <c r="F8" s="482">
        <v>18.638999999999999</v>
      </c>
      <c r="G8" s="184">
        <f>M8*S12</f>
        <v>49.703999999999994</v>
      </c>
      <c r="H8" s="185">
        <v>79</v>
      </c>
      <c r="I8" s="184">
        <f>M8*S14</f>
        <v>49.703999999999994</v>
      </c>
      <c r="J8" s="481">
        <v>49.7</v>
      </c>
      <c r="K8" s="184">
        <f>M8*S16</f>
        <v>10.355</v>
      </c>
      <c r="L8" s="481">
        <v>10.355</v>
      </c>
      <c r="M8" s="183">
        <v>207.1</v>
      </c>
      <c r="N8" s="182">
        <f>SUM(D8,F8,H8,J8,L8)</f>
        <v>236.39199999999997</v>
      </c>
      <c r="O8" s="344">
        <f>N8/M8</f>
        <v>1.1414389183969096</v>
      </c>
      <c r="P8" s="177">
        <f>N8/$N$13</f>
        <v>0.72447103243680577</v>
      </c>
      <c r="R8" s="863" t="s">
        <v>744</v>
      </c>
      <c r="S8" s="864">
        <v>0.38</v>
      </c>
    </row>
    <row r="9" spans="1:19" ht="15" customHeight="1">
      <c r="A9" s="342">
        <v>2</v>
      </c>
      <c r="B9" s="343" t="s">
        <v>745</v>
      </c>
      <c r="C9" s="184">
        <f>$M9*S8</f>
        <v>10.488000000000001</v>
      </c>
      <c r="D9" s="481">
        <v>10.488</v>
      </c>
      <c r="E9" s="184">
        <f>M9*S10</f>
        <v>2.484</v>
      </c>
      <c r="F9" s="482">
        <v>2.484</v>
      </c>
      <c r="G9" s="184">
        <f>M9*S12</f>
        <v>6.6239999999999997</v>
      </c>
      <c r="H9" s="185">
        <v>6</v>
      </c>
      <c r="I9" s="184">
        <f>M9*S14</f>
        <v>6.6239999999999997</v>
      </c>
      <c r="J9" s="481">
        <v>6.6</v>
      </c>
      <c r="K9" s="184">
        <f>M9*S16</f>
        <v>1.3800000000000001</v>
      </c>
      <c r="L9" s="481">
        <v>1.38</v>
      </c>
      <c r="M9" s="183">
        <v>27.6</v>
      </c>
      <c r="N9" s="182">
        <f>SUM(D9,F9,H9,J9,L9)</f>
        <v>26.952000000000002</v>
      </c>
      <c r="O9" s="344">
        <f>N9/M9</f>
        <v>0.97652173913043483</v>
      </c>
      <c r="P9" s="177">
        <f>N9/$N$13</f>
        <v>8.2599847990781378E-2</v>
      </c>
      <c r="R9" s="856"/>
      <c r="S9" s="852"/>
    </row>
    <row r="10" spans="1:19" ht="15" customHeight="1">
      <c r="A10" s="342">
        <v>3</v>
      </c>
      <c r="B10" s="343" t="s">
        <v>130</v>
      </c>
      <c r="C10" s="184">
        <f>M10*S8</f>
        <v>5.2440000000000007</v>
      </c>
      <c r="D10" s="481">
        <v>5.2439999999999998</v>
      </c>
      <c r="E10" s="184">
        <f>M10*S10</f>
        <v>1.242</v>
      </c>
      <c r="F10" s="482">
        <v>1.242</v>
      </c>
      <c r="G10" s="184">
        <f>M10*S12</f>
        <v>3.3119999999999998</v>
      </c>
      <c r="H10" s="185">
        <v>3</v>
      </c>
      <c r="I10" s="184">
        <f>M10*S14</f>
        <v>3.3119999999999998</v>
      </c>
      <c r="J10" s="481">
        <v>3.3</v>
      </c>
      <c r="K10" s="184">
        <f>M10*S16</f>
        <v>0.69000000000000006</v>
      </c>
      <c r="L10" s="481">
        <v>0.69</v>
      </c>
      <c r="M10" s="183">
        <v>13.8</v>
      </c>
      <c r="N10" s="182">
        <f>SUM(D10,F10,H10,J10,L10)</f>
        <v>13.476000000000001</v>
      </c>
      <c r="O10" s="344">
        <f>N10/M10</f>
        <v>0.97652173913043483</v>
      </c>
      <c r="P10" s="177">
        <f>N10/$N$13</f>
        <v>4.1299923995390689E-2</v>
      </c>
      <c r="R10" s="855" t="s">
        <v>4</v>
      </c>
      <c r="S10" s="851">
        <v>0.09</v>
      </c>
    </row>
    <row r="11" spans="1:19" ht="15" customHeight="1">
      <c r="A11" s="342">
        <v>4</v>
      </c>
      <c r="B11" s="343" t="s">
        <v>129</v>
      </c>
      <c r="C11" s="184">
        <f>M11*S8</f>
        <v>5.2440000000000007</v>
      </c>
      <c r="D11" s="481">
        <v>5.2439999999999998</v>
      </c>
      <c r="E11" s="184">
        <f>M11*S10</f>
        <v>1.242</v>
      </c>
      <c r="F11" s="482">
        <v>1.242</v>
      </c>
      <c r="G11" s="184">
        <f>M11*S12</f>
        <v>3.3119999999999998</v>
      </c>
      <c r="H11" s="185">
        <v>3</v>
      </c>
      <c r="I11" s="184">
        <f>M11*S14</f>
        <v>3.3119999999999998</v>
      </c>
      <c r="J11" s="481">
        <v>3.3</v>
      </c>
      <c r="K11" s="184">
        <f>M11*S16</f>
        <v>0.69000000000000006</v>
      </c>
      <c r="L11" s="481">
        <v>0.69</v>
      </c>
      <c r="M11" s="183">
        <v>13.8</v>
      </c>
      <c r="N11" s="182">
        <f>SUM(D11,F11,H11,J11,L11)</f>
        <v>13.476000000000001</v>
      </c>
      <c r="O11" s="344">
        <f>N11/M11</f>
        <v>0.97652173913043483</v>
      </c>
      <c r="P11" s="177">
        <f>N11/$N$13</f>
        <v>4.1299923995390689E-2</v>
      </c>
      <c r="R11" s="856"/>
      <c r="S11" s="852"/>
    </row>
    <row r="12" spans="1:19" ht="15" customHeight="1">
      <c r="A12" s="342">
        <v>5</v>
      </c>
      <c r="B12" s="343" t="s">
        <v>501</v>
      </c>
      <c r="C12" s="184">
        <f>M12*S8</f>
        <v>13.68</v>
      </c>
      <c r="D12" s="481">
        <v>10</v>
      </c>
      <c r="E12" s="184">
        <f>M12*S10</f>
        <v>3.2399999999999998</v>
      </c>
      <c r="F12" s="482">
        <v>10</v>
      </c>
      <c r="G12" s="184">
        <f>M12*S12</f>
        <v>8.64</v>
      </c>
      <c r="H12" s="185">
        <v>10</v>
      </c>
      <c r="I12" s="184">
        <f>M12*S14</f>
        <v>8.64</v>
      </c>
      <c r="J12" s="481">
        <v>5</v>
      </c>
      <c r="K12" s="184">
        <f>M12*S16</f>
        <v>1.8</v>
      </c>
      <c r="L12" s="481">
        <v>1</v>
      </c>
      <c r="M12" s="183">
        <v>36</v>
      </c>
      <c r="N12" s="182">
        <f>SUM(D12,F12,H12,J12,L12)</f>
        <v>36</v>
      </c>
      <c r="O12" s="344">
        <f>N12/M12</f>
        <v>1</v>
      </c>
      <c r="P12" s="177">
        <f>N12/$N$13</f>
        <v>0.1103292715816314</v>
      </c>
      <c r="R12" s="849" t="s">
        <v>746</v>
      </c>
      <c r="S12" s="851">
        <v>0.24</v>
      </c>
    </row>
    <row r="13" spans="1:19" ht="15" customHeight="1">
      <c r="A13" s="342">
        <v>6</v>
      </c>
      <c r="B13" s="343" t="s">
        <v>747</v>
      </c>
      <c r="C13" s="181">
        <f t="shared" ref="C13:I13" si="0">SUM(C8:C12)</f>
        <v>113.35399999999998</v>
      </c>
      <c r="D13" s="181">
        <f>SUM(D8:D12)</f>
        <v>109.67399999999999</v>
      </c>
      <c r="E13" s="181">
        <f t="shared" si="0"/>
        <v>26.846999999999998</v>
      </c>
      <c r="F13" s="181">
        <f t="shared" si="0"/>
        <v>33.606999999999999</v>
      </c>
      <c r="G13" s="181">
        <f t="shared" si="0"/>
        <v>71.591999999999985</v>
      </c>
      <c r="H13" s="181">
        <f t="shared" si="0"/>
        <v>101</v>
      </c>
      <c r="I13" s="180">
        <f t="shared" si="0"/>
        <v>71.591999999999985</v>
      </c>
      <c r="J13" s="180">
        <f>SUM(J8:J12)</f>
        <v>67.900000000000006</v>
      </c>
      <c r="K13" s="180">
        <f>SUM(K8:K12)</f>
        <v>14.915000000000001</v>
      </c>
      <c r="L13" s="180">
        <f>SUM(L8:L12)</f>
        <v>14.114999999999998</v>
      </c>
      <c r="M13" s="179">
        <f>SUM(M8:M12)</f>
        <v>298.3</v>
      </c>
      <c r="N13" s="178">
        <f>SUM(N8:N12)</f>
        <v>326.29599999999999</v>
      </c>
      <c r="O13" s="344"/>
      <c r="P13" s="177"/>
      <c r="R13" s="850"/>
      <c r="S13" s="852"/>
    </row>
    <row r="14" spans="1:19" ht="15" customHeight="1">
      <c r="A14" s="345">
        <v>7</v>
      </c>
      <c r="B14" s="346" t="s">
        <v>748</v>
      </c>
      <c r="C14" s="853">
        <f>规模!C7</f>
        <v>326.25</v>
      </c>
      <c r="D14" s="854"/>
      <c r="E14" s="853">
        <f>规模!C8</f>
        <v>326.25</v>
      </c>
      <c r="F14" s="854"/>
      <c r="G14" s="853">
        <f>规模!C9</f>
        <v>338</v>
      </c>
      <c r="H14" s="854"/>
      <c r="I14" s="853">
        <f>规模!C10</f>
        <v>287.5</v>
      </c>
      <c r="J14" s="854"/>
      <c r="K14" s="853">
        <f>规模!C11</f>
        <v>287.5</v>
      </c>
      <c r="L14" s="854"/>
      <c r="M14" s="853">
        <f>K14</f>
        <v>287.5</v>
      </c>
      <c r="N14" s="854"/>
      <c r="O14" s="344"/>
      <c r="P14" s="347"/>
      <c r="R14" s="855" t="s">
        <v>749</v>
      </c>
      <c r="S14" s="857">
        <v>0.24</v>
      </c>
    </row>
    <row r="15" spans="1:19" s="176" customFormat="1" ht="15" customHeight="1">
      <c r="A15" s="345">
        <v>8</v>
      </c>
      <c r="B15" s="346" t="s">
        <v>750</v>
      </c>
      <c r="C15" s="847">
        <f>D13/C13</f>
        <v>0.96753533179243789</v>
      </c>
      <c r="D15" s="848"/>
      <c r="E15" s="847">
        <f>F13/E13</f>
        <v>1.2517972212910196</v>
      </c>
      <c r="F15" s="848"/>
      <c r="G15" s="847">
        <f>H13/G13</f>
        <v>1.4107721533132196</v>
      </c>
      <c r="H15" s="848"/>
      <c r="I15" s="847">
        <f>J13/I13</f>
        <v>0.94842999217789725</v>
      </c>
      <c r="J15" s="848"/>
      <c r="K15" s="847">
        <f>L13/K13</f>
        <v>0.94636272209185368</v>
      </c>
      <c r="L15" s="848"/>
      <c r="M15" s="847">
        <f>N13/M13</f>
        <v>1.0938518270197788</v>
      </c>
      <c r="N15" s="848"/>
      <c r="O15" s="344"/>
      <c r="P15" s="347"/>
      <c r="R15" s="856"/>
      <c r="S15" s="858"/>
    </row>
    <row r="16" spans="1:19" s="176" customFormat="1" ht="15" customHeight="1" thickBot="1">
      <c r="A16" s="345">
        <v>9</v>
      </c>
      <c r="B16" s="346" t="s">
        <v>751</v>
      </c>
      <c r="C16" s="845">
        <f>D13/C13-1</f>
        <v>-3.2464668207562108E-2</v>
      </c>
      <c r="D16" s="846"/>
      <c r="E16" s="845">
        <f>F13/E13-1</f>
        <v>0.25179722129101956</v>
      </c>
      <c r="F16" s="846"/>
      <c r="G16" s="845">
        <f>H13/G13-1</f>
        <v>0.41077215331321959</v>
      </c>
      <c r="H16" s="846"/>
      <c r="I16" s="845">
        <f>J13/I13-1</f>
        <v>-5.1570007822102748E-2</v>
      </c>
      <c r="J16" s="846"/>
      <c r="K16" s="845">
        <f>L13/K13-1</f>
        <v>-5.3637277908146319E-2</v>
      </c>
      <c r="L16" s="846"/>
      <c r="M16" s="845">
        <f>N13/M13-1</f>
        <v>9.3851827019778788E-2</v>
      </c>
      <c r="N16" s="846"/>
      <c r="O16" s="344"/>
      <c r="P16" s="842"/>
      <c r="R16" s="349" t="s">
        <v>752</v>
      </c>
      <c r="S16" s="175">
        <v>0.05</v>
      </c>
    </row>
    <row r="17" spans="1:19" s="169" customFormat="1" ht="15" customHeight="1" thickTop="1">
      <c r="A17" s="345">
        <v>10</v>
      </c>
      <c r="B17" s="348" t="s">
        <v>502</v>
      </c>
      <c r="C17" s="845">
        <f>D13/C13-100%</f>
        <v>-3.2464668207562108E-2</v>
      </c>
      <c r="D17" s="846"/>
      <c r="E17" s="845">
        <f>(D13+F13)/(C13+E13)-100%</f>
        <v>2.1968459568762144E-2</v>
      </c>
      <c r="F17" s="846"/>
      <c r="G17" s="845">
        <f>(D13+F13+H13)/(C13+E13+G13)-100%</f>
        <v>0.15339506027111383</v>
      </c>
      <c r="H17" s="846"/>
      <c r="I17" s="845">
        <f>(D13+F13+H13+J13)/(C13+E13+G13+I13)-100%</f>
        <v>0.10161441148966976</v>
      </c>
      <c r="J17" s="846"/>
      <c r="K17" s="845">
        <f>(D13+F13+H13+J13+L13)/(C13+E13+G13+I13+K13)-100%</f>
        <v>9.3851827019778788E-2</v>
      </c>
      <c r="L17" s="846"/>
      <c r="M17" s="845">
        <f>K17</f>
        <v>9.3851827019778788E-2</v>
      </c>
      <c r="N17" s="846"/>
      <c r="O17" s="344"/>
      <c r="P17" s="843"/>
      <c r="R17" s="171"/>
      <c r="S17" s="170"/>
    </row>
    <row r="18" spans="1:19" s="169" customFormat="1" ht="15" customHeight="1" thickBot="1">
      <c r="A18" s="350">
        <v>11</v>
      </c>
      <c r="B18" s="351" t="s">
        <v>753</v>
      </c>
      <c r="C18" s="835">
        <f>D8/$N8</f>
        <v>0.33291312734779521</v>
      </c>
      <c r="D18" s="836"/>
      <c r="E18" s="835">
        <f>F8/$N8</f>
        <v>7.884784595079361E-2</v>
      </c>
      <c r="F18" s="836"/>
      <c r="G18" s="835">
        <f>H8/$N8</f>
        <v>0.33419066635080719</v>
      </c>
      <c r="H18" s="836"/>
      <c r="I18" s="835">
        <f>J8/N8</f>
        <v>0.21024400148905212</v>
      </c>
      <c r="J18" s="836"/>
      <c r="K18" s="835">
        <f>L8/N8</f>
        <v>4.3804358861552005E-2</v>
      </c>
      <c r="L18" s="836"/>
      <c r="M18" s="835"/>
      <c r="N18" s="836"/>
      <c r="O18" s="352"/>
      <c r="P18" s="844"/>
      <c r="R18" s="165"/>
      <c r="S18" s="165"/>
    </row>
    <row r="19" spans="1:19" ht="12.75" thickTop="1">
      <c r="A19" s="174"/>
      <c r="B19" s="172"/>
      <c r="C19" s="173"/>
      <c r="D19" s="173"/>
      <c r="E19" s="173"/>
      <c r="F19" s="173"/>
      <c r="G19" s="173"/>
      <c r="H19" s="173"/>
      <c r="I19" s="173"/>
      <c r="J19" s="173"/>
      <c r="K19" s="173"/>
      <c r="L19" s="173"/>
      <c r="M19" s="173"/>
      <c r="N19" s="173"/>
      <c r="O19" s="173"/>
      <c r="P19" s="172"/>
    </row>
    <row r="20" spans="1:19">
      <c r="B20" s="346" t="s">
        <v>755</v>
      </c>
      <c r="C20" s="346"/>
      <c r="D20" s="346"/>
      <c r="E20" s="346" t="s">
        <v>1</v>
      </c>
      <c r="F20" s="346" t="s">
        <v>4</v>
      </c>
      <c r="G20" s="346" t="s">
        <v>146</v>
      </c>
      <c r="H20" s="346" t="s">
        <v>756</v>
      </c>
      <c r="I20" s="346" t="s">
        <v>757</v>
      </c>
    </row>
    <row r="21" spans="1:19" ht="12" customHeight="1">
      <c r="B21" s="837" t="s">
        <v>758</v>
      </c>
      <c r="C21" s="839" t="s">
        <v>759</v>
      </c>
      <c r="D21" s="484" t="s">
        <v>50</v>
      </c>
      <c r="E21" s="485">
        <v>0</v>
      </c>
      <c r="F21" s="485">
        <v>1.5E-3</v>
      </c>
      <c r="G21" s="485">
        <v>7.9474874860600009E-2</v>
      </c>
      <c r="H21" s="485">
        <v>0.09</v>
      </c>
      <c r="I21" s="485">
        <v>0</v>
      </c>
    </row>
    <row r="22" spans="1:19">
      <c r="B22" s="838"/>
      <c r="C22" s="840"/>
      <c r="D22" s="486" t="s">
        <v>51</v>
      </c>
      <c r="E22" s="486">
        <v>0.55000000000000004</v>
      </c>
      <c r="F22" s="486">
        <v>0.34710524803163401</v>
      </c>
      <c r="G22" s="486">
        <v>0.96250000000000002</v>
      </c>
      <c r="H22" s="486">
        <v>0.80957050162269195</v>
      </c>
      <c r="I22" s="486">
        <v>0.12916399609051399</v>
      </c>
      <c r="O22" s="165" t="s">
        <v>754</v>
      </c>
      <c r="P22" s="168">
        <f>C17</f>
        <v>-3.2464668207562108E-2</v>
      </c>
    </row>
    <row r="23" spans="1:19">
      <c r="B23" s="838"/>
      <c r="C23" s="841"/>
      <c r="D23" s="484" t="s">
        <v>760</v>
      </c>
      <c r="E23" s="485">
        <v>1.4930624150833844</v>
      </c>
      <c r="F23" s="485">
        <v>0.69269999999999998</v>
      </c>
      <c r="G23" s="485">
        <v>1.8455251251394</v>
      </c>
      <c r="H23" s="485">
        <v>1.5289999999999999</v>
      </c>
      <c r="I23" s="485">
        <v>0.28422465362935911</v>
      </c>
      <c r="O23" s="165" t="s">
        <v>4</v>
      </c>
      <c r="P23" s="168">
        <f>E17</f>
        <v>2.1968459568762144E-2</v>
      </c>
    </row>
    <row r="24" spans="1:19">
      <c r="B24" s="838"/>
      <c r="C24" s="487" t="s">
        <v>933</v>
      </c>
      <c r="D24" s="636" t="s">
        <v>934</v>
      </c>
      <c r="E24" s="489">
        <f>C13/C14</f>
        <v>0.3474452107279693</v>
      </c>
      <c r="F24" s="489">
        <f>E13/E14</f>
        <v>8.2289655172413781E-2</v>
      </c>
      <c r="G24" s="489">
        <f>G13/G14</f>
        <v>0.21181065088757392</v>
      </c>
      <c r="H24" s="489">
        <f>I13/I14</f>
        <v>0.249015652173913</v>
      </c>
      <c r="I24" s="489">
        <f>K13/K14</f>
        <v>5.1878260869565221E-2</v>
      </c>
      <c r="P24" s="168"/>
    </row>
    <row r="25" spans="1:19">
      <c r="B25" s="838"/>
      <c r="C25" s="487" t="s">
        <v>131</v>
      </c>
      <c r="D25" s="488" t="s">
        <v>935</v>
      </c>
      <c r="E25" s="489">
        <f>D13/C14</f>
        <v>0.33616551724137927</v>
      </c>
      <c r="F25" s="489">
        <f>F13/E14</f>
        <v>0.10300996168582376</v>
      </c>
      <c r="G25" s="489">
        <f>H13/G14</f>
        <v>0.29881656804733731</v>
      </c>
      <c r="H25" s="489">
        <f>J13/I14</f>
        <v>0.23617391304347829</v>
      </c>
      <c r="I25" s="490">
        <f>L13/K14</f>
        <v>4.909565217391304E-2</v>
      </c>
      <c r="O25" s="165" t="s">
        <v>127</v>
      </c>
      <c r="P25" s="168">
        <f>G17</f>
        <v>0.15339506027111383</v>
      </c>
    </row>
    <row r="26" spans="1:19">
      <c r="O26" s="165" t="s">
        <v>6</v>
      </c>
      <c r="P26" s="168">
        <f>I17</f>
        <v>0.10161441148966976</v>
      </c>
    </row>
    <row r="27" spans="1:19">
      <c r="O27" s="165" t="s">
        <v>126</v>
      </c>
      <c r="P27" s="168">
        <f>K17</f>
        <v>9.3851827019778788E-2</v>
      </c>
    </row>
    <row r="28" spans="1:19">
      <c r="P28" s="168"/>
    </row>
    <row r="37" spans="1:1" ht="14.25" customHeight="1"/>
    <row r="39" spans="1:1" ht="14.25">
      <c r="A39" s="167"/>
    </row>
    <row r="43" spans="1:1" ht="12" customHeight="1"/>
    <row r="46" spans="1:1" ht="13.5" customHeight="1"/>
  </sheetData>
  <mergeCells count="53">
    <mergeCell ref="A1:P1"/>
    <mergeCell ref="A6:A7"/>
    <mergeCell ref="B6:B7"/>
    <mergeCell ref="C6:D6"/>
    <mergeCell ref="E6:F6"/>
    <mergeCell ref="G6:H6"/>
    <mergeCell ref="I6:J6"/>
    <mergeCell ref="K6:L6"/>
    <mergeCell ref="M6:N6"/>
    <mergeCell ref="O6:O7"/>
    <mergeCell ref="P6:P7"/>
    <mergeCell ref="R6:S7"/>
    <mergeCell ref="R8:R9"/>
    <mergeCell ref="S8:S9"/>
    <mergeCell ref="R10:R11"/>
    <mergeCell ref="S10:S11"/>
    <mergeCell ref="M15:N15"/>
    <mergeCell ref="R12:R13"/>
    <mergeCell ref="S12:S13"/>
    <mergeCell ref="C14:D14"/>
    <mergeCell ref="E14:F14"/>
    <mergeCell ref="G14:H14"/>
    <mergeCell ref="I14:J14"/>
    <mergeCell ref="K14:L14"/>
    <mergeCell ref="M14:N14"/>
    <mergeCell ref="R14:R15"/>
    <mergeCell ref="S14:S15"/>
    <mergeCell ref="C15:D15"/>
    <mergeCell ref="E15:F15"/>
    <mergeCell ref="G15:H15"/>
    <mergeCell ref="I15:J15"/>
    <mergeCell ref="K15:L15"/>
    <mergeCell ref="P16:P18"/>
    <mergeCell ref="C17:D17"/>
    <mergeCell ref="E17:F17"/>
    <mergeCell ref="G17:H17"/>
    <mergeCell ref="I17:J17"/>
    <mergeCell ref="K17:L17"/>
    <mergeCell ref="M17:N17"/>
    <mergeCell ref="C18:D18"/>
    <mergeCell ref="E18:F18"/>
    <mergeCell ref="G18:H18"/>
    <mergeCell ref="C16:D16"/>
    <mergeCell ref="E16:F16"/>
    <mergeCell ref="G16:H16"/>
    <mergeCell ref="I16:J16"/>
    <mergeCell ref="K16:L16"/>
    <mergeCell ref="M16:N16"/>
    <mergeCell ref="I18:J18"/>
    <mergeCell ref="K18:L18"/>
    <mergeCell ref="M18:N18"/>
    <mergeCell ref="B21:B25"/>
    <mergeCell ref="C21:C23"/>
  </mergeCells>
  <phoneticPr fontId="5" type="noConversion"/>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sheetPr>
  <dimension ref="A1:I33"/>
  <sheetViews>
    <sheetView workbookViewId="0">
      <selection activeCell="D19" sqref="D19"/>
    </sheetView>
  </sheetViews>
  <sheetFormatPr defaultRowHeight="12"/>
  <cols>
    <col min="1" max="1" width="2.75" style="166" customWidth="1"/>
    <col min="2" max="2" width="20.875" style="165" customWidth="1"/>
    <col min="3" max="3" width="23.125" style="166" customWidth="1"/>
    <col min="4" max="4" width="17.375" style="166" customWidth="1"/>
    <col min="5" max="5" width="21.625" style="166" customWidth="1"/>
    <col min="6" max="6" width="9.75" style="165" customWidth="1"/>
    <col min="7" max="7" width="8.25" style="165" customWidth="1"/>
    <col min="8" max="8" width="8" style="165" customWidth="1"/>
    <col min="9" max="9" width="4.5" style="165" customWidth="1"/>
    <col min="10" max="10" width="6.75" style="165" customWidth="1"/>
    <col min="11" max="11" width="5.375" style="165" customWidth="1"/>
    <col min="12" max="12" width="6" style="165" customWidth="1"/>
    <col min="13" max="256" width="9" style="165"/>
    <col min="257" max="257" width="2.75" style="165" customWidth="1"/>
    <col min="258" max="258" width="20.875" style="165" customWidth="1"/>
    <col min="259" max="259" width="23.125" style="165" customWidth="1"/>
    <col min="260" max="260" width="15.125" style="165" customWidth="1"/>
    <col min="261" max="261" width="21.625" style="165" customWidth="1"/>
    <col min="262" max="262" width="9.75" style="165" customWidth="1"/>
    <col min="263" max="263" width="8.25" style="165" customWidth="1"/>
    <col min="264" max="264" width="8" style="165" customWidth="1"/>
    <col min="265" max="265" width="4.5" style="165" customWidth="1"/>
    <col min="266" max="266" width="6.75" style="165" customWidth="1"/>
    <col min="267" max="267" width="5.375" style="165" customWidth="1"/>
    <col min="268" max="268" width="6" style="165" customWidth="1"/>
    <col min="269" max="512" width="9" style="165"/>
    <col min="513" max="513" width="2.75" style="165" customWidth="1"/>
    <col min="514" max="514" width="20.875" style="165" customWidth="1"/>
    <col min="515" max="515" width="23.125" style="165" customWidth="1"/>
    <col min="516" max="516" width="15.125" style="165" customWidth="1"/>
    <col min="517" max="517" width="21.625" style="165" customWidth="1"/>
    <col min="518" max="518" width="9.75" style="165" customWidth="1"/>
    <col min="519" max="519" width="8.25" style="165" customWidth="1"/>
    <col min="520" max="520" width="8" style="165" customWidth="1"/>
    <col min="521" max="521" width="4.5" style="165" customWidth="1"/>
    <col min="522" max="522" width="6.75" style="165" customWidth="1"/>
    <col min="523" max="523" width="5.375" style="165" customWidth="1"/>
    <col min="524" max="524" width="6" style="165" customWidth="1"/>
    <col min="525" max="768" width="9" style="165"/>
    <col min="769" max="769" width="2.75" style="165" customWidth="1"/>
    <col min="770" max="770" width="20.875" style="165" customWidth="1"/>
    <col min="771" max="771" width="23.125" style="165" customWidth="1"/>
    <col min="772" max="772" width="15.125" style="165" customWidth="1"/>
    <col min="773" max="773" width="21.625" style="165" customWidth="1"/>
    <col min="774" max="774" width="9.75" style="165" customWidth="1"/>
    <col min="775" max="775" width="8.25" style="165" customWidth="1"/>
    <col min="776" max="776" width="8" style="165" customWidth="1"/>
    <col min="777" max="777" width="4.5" style="165" customWidth="1"/>
    <col min="778" max="778" width="6.75" style="165" customWidth="1"/>
    <col min="779" max="779" width="5.375" style="165" customWidth="1"/>
    <col min="780" max="780" width="6" style="165" customWidth="1"/>
    <col min="781" max="1024" width="9" style="165"/>
    <col min="1025" max="1025" width="2.75" style="165" customWidth="1"/>
    <col min="1026" max="1026" width="20.875" style="165" customWidth="1"/>
    <col min="1027" max="1027" width="23.125" style="165" customWidth="1"/>
    <col min="1028" max="1028" width="15.125" style="165" customWidth="1"/>
    <col min="1029" max="1029" width="21.625" style="165" customWidth="1"/>
    <col min="1030" max="1030" width="9.75" style="165" customWidth="1"/>
    <col min="1031" max="1031" width="8.25" style="165" customWidth="1"/>
    <col min="1032" max="1032" width="8" style="165" customWidth="1"/>
    <col min="1033" max="1033" width="4.5" style="165" customWidth="1"/>
    <col min="1034" max="1034" width="6.75" style="165" customWidth="1"/>
    <col min="1035" max="1035" width="5.375" style="165" customWidth="1"/>
    <col min="1036" max="1036" width="6" style="165" customWidth="1"/>
    <col min="1037" max="1280" width="9" style="165"/>
    <col min="1281" max="1281" width="2.75" style="165" customWidth="1"/>
    <col min="1282" max="1282" width="20.875" style="165" customWidth="1"/>
    <col min="1283" max="1283" width="23.125" style="165" customWidth="1"/>
    <col min="1284" max="1284" width="15.125" style="165" customWidth="1"/>
    <col min="1285" max="1285" width="21.625" style="165" customWidth="1"/>
    <col min="1286" max="1286" width="9.75" style="165" customWidth="1"/>
    <col min="1287" max="1287" width="8.25" style="165" customWidth="1"/>
    <col min="1288" max="1288" width="8" style="165" customWidth="1"/>
    <col min="1289" max="1289" width="4.5" style="165" customWidth="1"/>
    <col min="1290" max="1290" width="6.75" style="165" customWidth="1"/>
    <col min="1291" max="1291" width="5.375" style="165" customWidth="1"/>
    <col min="1292" max="1292" width="6" style="165" customWidth="1"/>
    <col min="1293" max="1536" width="9" style="165"/>
    <col min="1537" max="1537" width="2.75" style="165" customWidth="1"/>
    <col min="1538" max="1538" width="20.875" style="165" customWidth="1"/>
    <col min="1539" max="1539" width="23.125" style="165" customWidth="1"/>
    <col min="1540" max="1540" width="15.125" style="165" customWidth="1"/>
    <col min="1541" max="1541" width="21.625" style="165" customWidth="1"/>
    <col min="1542" max="1542" width="9.75" style="165" customWidth="1"/>
    <col min="1543" max="1543" width="8.25" style="165" customWidth="1"/>
    <col min="1544" max="1544" width="8" style="165" customWidth="1"/>
    <col min="1545" max="1545" width="4.5" style="165" customWidth="1"/>
    <col min="1546" max="1546" width="6.75" style="165" customWidth="1"/>
    <col min="1547" max="1547" width="5.375" style="165" customWidth="1"/>
    <col min="1548" max="1548" width="6" style="165" customWidth="1"/>
    <col min="1549" max="1792" width="9" style="165"/>
    <col min="1793" max="1793" width="2.75" style="165" customWidth="1"/>
    <col min="1794" max="1794" width="20.875" style="165" customWidth="1"/>
    <col min="1795" max="1795" width="23.125" style="165" customWidth="1"/>
    <col min="1796" max="1796" width="15.125" style="165" customWidth="1"/>
    <col min="1797" max="1797" width="21.625" style="165" customWidth="1"/>
    <col min="1798" max="1798" width="9.75" style="165" customWidth="1"/>
    <col min="1799" max="1799" width="8.25" style="165" customWidth="1"/>
    <col min="1800" max="1800" width="8" style="165" customWidth="1"/>
    <col min="1801" max="1801" width="4.5" style="165" customWidth="1"/>
    <col min="1802" max="1802" width="6.75" style="165" customWidth="1"/>
    <col min="1803" max="1803" width="5.375" style="165" customWidth="1"/>
    <col min="1804" max="1804" width="6" style="165" customWidth="1"/>
    <col min="1805" max="2048" width="9" style="165"/>
    <col min="2049" max="2049" width="2.75" style="165" customWidth="1"/>
    <col min="2050" max="2050" width="20.875" style="165" customWidth="1"/>
    <col min="2051" max="2051" width="23.125" style="165" customWidth="1"/>
    <col min="2052" max="2052" width="15.125" style="165" customWidth="1"/>
    <col min="2053" max="2053" width="21.625" style="165" customWidth="1"/>
    <col min="2054" max="2054" width="9.75" style="165" customWidth="1"/>
    <col min="2055" max="2055" width="8.25" style="165" customWidth="1"/>
    <col min="2056" max="2056" width="8" style="165" customWidth="1"/>
    <col min="2057" max="2057" width="4.5" style="165" customWidth="1"/>
    <col min="2058" max="2058" width="6.75" style="165" customWidth="1"/>
    <col min="2059" max="2059" width="5.375" style="165" customWidth="1"/>
    <col min="2060" max="2060" width="6" style="165" customWidth="1"/>
    <col min="2061" max="2304" width="9" style="165"/>
    <col min="2305" max="2305" width="2.75" style="165" customWidth="1"/>
    <col min="2306" max="2306" width="20.875" style="165" customWidth="1"/>
    <col min="2307" max="2307" width="23.125" style="165" customWidth="1"/>
    <col min="2308" max="2308" width="15.125" style="165" customWidth="1"/>
    <col min="2309" max="2309" width="21.625" style="165" customWidth="1"/>
    <col min="2310" max="2310" width="9.75" style="165" customWidth="1"/>
    <col min="2311" max="2311" width="8.25" style="165" customWidth="1"/>
    <col min="2312" max="2312" width="8" style="165" customWidth="1"/>
    <col min="2313" max="2313" width="4.5" style="165" customWidth="1"/>
    <col min="2314" max="2314" width="6.75" style="165" customWidth="1"/>
    <col min="2315" max="2315" width="5.375" style="165" customWidth="1"/>
    <col min="2316" max="2316" width="6" style="165" customWidth="1"/>
    <col min="2317" max="2560" width="9" style="165"/>
    <col min="2561" max="2561" width="2.75" style="165" customWidth="1"/>
    <col min="2562" max="2562" width="20.875" style="165" customWidth="1"/>
    <col min="2563" max="2563" width="23.125" style="165" customWidth="1"/>
    <col min="2564" max="2564" width="15.125" style="165" customWidth="1"/>
    <col min="2565" max="2565" width="21.625" style="165" customWidth="1"/>
    <col min="2566" max="2566" width="9.75" style="165" customWidth="1"/>
    <col min="2567" max="2567" width="8.25" style="165" customWidth="1"/>
    <col min="2568" max="2568" width="8" style="165" customWidth="1"/>
    <col min="2569" max="2569" width="4.5" style="165" customWidth="1"/>
    <col min="2570" max="2570" width="6.75" style="165" customWidth="1"/>
    <col min="2571" max="2571" width="5.375" style="165" customWidth="1"/>
    <col min="2572" max="2572" width="6" style="165" customWidth="1"/>
    <col min="2573" max="2816" width="9" style="165"/>
    <col min="2817" max="2817" width="2.75" style="165" customWidth="1"/>
    <col min="2818" max="2818" width="20.875" style="165" customWidth="1"/>
    <col min="2819" max="2819" width="23.125" style="165" customWidth="1"/>
    <col min="2820" max="2820" width="15.125" style="165" customWidth="1"/>
    <col min="2821" max="2821" width="21.625" style="165" customWidth="1"/>
    <col min="2822" max="2822" width="9.75" style="165" customWidth="1"/>
    <col min="2823" max="2823" width="8.25" style="165" customWidth="1"/>
    <col min="2824" max="2824" width="8" style="165" customWidth="1"/>
    <col min="2825" max="2825" width="4.5" style="165" customWidth="1"/>
    <col min="2826" max="2826" width="6.75" style="165" customWidth="1"/>
    <col min="2827" max="2827" width="5.375" style="165" customWidth="1"/>
    <col min="2828" max="2828" width="6" style="165" customWidth="1"/>
    <col min="2829" max="3072" width="9" style="165"/>
    <col min="3073" max="3073" width="2.75" style="165" customWidth="1"/>
    <col min="3074" max="3074" width="20.875" style="165" customWidth="1"/>
    <col min="3075" max="3075" width="23.125" style="165" customWidth="1"/>
    <col min="3076" max="3076" width="15.125" style="165" customWidth="1"/>
    <col min="3077" max="3077" width="21.625" style="165" customWidth="1"/>
    <col min="3078" max="3078" width="9.75" style="165" customWidth="1"/>
    <col min="3079" max="3079" width="8.25" style="165" customWidth="1"/>
    <col min="3080" max="3080" width="8" style="165" customWidth="1"/>
    <col min="3081" max="3081" width="4.5" style="165" customWidth="1"/>
    <col min="3082" max="3082" width="6.75" style="165" customWidth="1"/>
    <col min="3083" max="3083" width="5.375" style="165" customWidth="1"/>
    <col min="3084" max="3084" width="6" style="165" customWidth="1"/>
    <col min="3085" max="3328" width="9" style="165"/>
    <col min="3329" max="3329" width="2.75" style="165" customWidth="1"/>
    <col min="3330" max="3330" width="20.875" style="165" customWidth="1"/>
    <col min="3331" max="3331" width="23.125" style="165" customWidth="1"/>
    <col min="3332" max="3332" width="15.125" style="165" customWidth="1"/>
    <col min="3333" max="3333" width="21.625" style="165" customWidth="1"/>
    <col min="3334" max="3334" width="9.75" style="165" customWidth="1"/>
    <col min="3335" max="3335" width="8.25" style="165" customWidth="1"/>
    <col min="3336" max="3336" width="8" style="165" customWidth="1"/>
    <col min="3337" max="3337" width="4.5" style="165" customWidth="1"/>
    <col min="3338" max="3338" width="6.75" style="165" customWidth="1"/>
    <col min="3339" max="3339" width="5.375" style="165" customWidth="1"/>
    <col min="3340" max="3340" width="6" style="165" customWidth="1"/>
    <col min="3341" max="3584" width="9" style="165"/>
    <col min="3585" max="3585" width="2.75" style="165" customWidth="1"/>
    <col min="3586" max="3586" width="20.875" style="165" customWidth="1"/>
    <col min="3587" max="3587" width="23.125" style="165" customWidth="1"/>
    <col min="3588" max="3588" width="15.125" style="165" customWidth="1"/>
    <col min="3589" max="3589" width="21.625" style="165" customWidth="1"/>
    <col min="3590" max="3590" width="9.75" style="165" customWidth="1"/>
    <col min="3591" max="3591" width="8.25" style="165" customWidth="1"/>
    <col min="3592" max="3592" width="8" style="165" customWidth="1"/>
    <col min="3593" max="3593" width="4.5" style="165" customWidth="1"/>
    <col min="3594" max="3594" width="6.75" style="165" customWidth="1"/>
    <col min="3595" max="3595" width="5.375" style="165" customWidth="1"/>
    <col min="3596" max="3596" width="6" style="165" customWidth="1"/>
    <col min="3597" max="3840" width="9" style="165"/>
    <col min="3841" max="3841" width="2.75" style="165" customWidth="1"/>
    <col min="3842" max="3842" width="20.875" style="165" customWidth="1"/>
    <col min="3843" max="3843" width="23.125" style="165" customWidth="1"/>
    <col min="3844" max="3844" width="15.125" style="165" customWidth="1"/>
    <col min="3845" max="3845" width="21.625" style="165" customWidth="1"/>
    <col min="3846" max="3846" width="9.75" style="165" customWidth="1"/>
    <col min="3847" max="3847" width="8.25" style="165" customWidth="1"/>
    <col min="3848" max="3848" width="8" style="165" customWidth="1"/>
    <col min="3849" max="3849" width="4.5" style="165" customWidth="1"/>
    <col min="3850" max="3850" width="6.75" style="165" customWidth="1"/>
    <col min="3851" max="3851" width="5.375" style="165" customWidth="1"/>
    <col min="3852" max="3852" width="6" style="165" customWidth="1"/>
    <col min="3853" max="4096" width="9" style="165"/>
    <col min="4097" max="4097" width="2.75" style="165" customWidth="1"/>
    <col min="4098" max="4098" width="20.875" style="165" customWidth="1"/>
    <col min="4099" max="4099" width="23.125" style="165" customWidth="1"/>
    <col min="4100" max="4100" width="15.125" style="165" customWidth="1"/>
    <col min="4101" max="4101" width="21.625" style="165" customWidth="1"/>
    <col min="4102" max="4102" width="9.75" style="165" customWidth="1"/>
    <col min="4103" max="4103" width="8.25" style="165" customWidth="1"/>
    <col min="4104" max="4104" width="8" style="165" customWidth="1"/>
    <col min="4105" max="4105" width="4.5" style="165" customWidth="1"/>
    <col min="4106" max="4106" width="6.75" style="165" customWidth="1"/>
    <col min="4107" max="4107" width="5.375" style="165" customWidth="1"/>
    <col min="4108" max="4108" width="6" style="165" customWidth="1"/>
    <col min="4109" max="4352" width="9" style="165"/>
    <col min="4353" max="4353" width="2.75" style="165" customWidth="1"/>
    <col min="4354" max="4354" width="20.875" style="165" customWidth="1"/>
    <col min="4355" max="4355" width="23.125" style="165" customWidth="1"/>
    <col min="4356" max="4356" width="15.125" style="165" customWidth="1"/>
    <col min="4357" max="4357" width="21.625" style="165" customWidth="1"/>
    <col min="4358" max="4358" width="9.75" style="165" customWidth="1"/>
    <col min="4359" max="4359" width="8.25" style="165" customWidth="1"/>
    <col min="4360" max="4360" width="8" style="165" customWidth="1"/>
    <col min="4361" max="4361" width="4.5" style="165" customWidth="1"/>
    <col min="4362" max="4362" width="6.75" style="165" customWidth="1"/>
    <col min="4363" max="4363" width="5.375" style="165" customWidth="1"/>
    <col min="4364" max="4364" width="6" style="165" customWidth="1"/>
    <col min="4365" max="4608" width="9" style="165"/>
    <col min="4609" max="4609" width="2.75" style="165" customWidth="1"/>
    <col min="4610" max="4610" width="20.875" style="165" customWidth="1"/>
    <col min="4611" max="4611" width="23.125" style="165" customWidth="1"/>
    <col min="4612" max="4612" width="15.125" style="165" customWidth="1"/>
    <col min="4613" max="4613" width="21.625" style="165" customWidth="1"/>
    <col min="4614" max="4614" width="9.75" style="165" customWidth="1"/>
    <col min="4615" max="4615" width="8.25" style="165" customWidth="1"/>
    <col min="4616" max="4616" width="8" style="165" customWidth="1"/>
    <col min="4617" max="4617" width="4.5" style="165" customWidth="1"/>
    <col min="4618" max="4618" width="6.75" style="165" customWidth="1"/>
    <col min="4619" max="4619" width="5.375" style="165" customWidth="1"/>
    <col min="4620" max="4620" width="6" style="165" customWidth="1"/>
    <col min="4621" max="4864" width="9" style="165"/>
    <col min="4865" max="4865" width="2.75" style="165" customWidth="1"/>
    <col min="4866" max="4866" width="20.875" style="165" customWidth="1"/>
    <col min="4867" max="4867" width="23.125" style="165" customWidth="1"/>
    <col min="4868" max="4868" width="15.125" style="165" customWidth="1"/>
    <col min="4869" max="4869" width="21.625" style="165" customWidth="1"/>
    <col min="4870" max="4870" width="9.75" style="165" customWidth="1"/>
    <col min="4871" max="4871" width="8.25" style="165" customWidth="1"/>
    <col min="4872" max="4872" width="8" style="165" customWidth="1"/>
    <col min="4873" max="4873" width="4.5" style="165" customWidth="1"/>
    <col min="4874" max="4874" width="6.75" style="165" customWidth="1"/>
    <col min="4875" max="4875" width="5.375" style="165" customWidth="1"/>
    <col min="4876" max="4876" width="6" style="165" customWidth="1"/>
    <col min="4877" max="5120" width="9" style="165"/>
    <col min="5121" max="5121" width="2.75" style="165" customWidth="1"/>
    <col min="5122" max="5122" width="20.875" style="165" customWidth="1"/>
    <col min="5123" max="5123" width="23.125" style="165" customWidth="1"/>
    <col min="5124" max="5124" width="15.125" style="165" customWidth="1"/>
    <col min="5125" max="5125" width="21.625" style="165" customWidth="1"/>
    <col min="5126" max="5126" width="9.75" style="165" customWidth="1"/>
    <col min="5127" max="5127" width="8.25" style="165" customWidth="1"/>
    <col min="5128" max="5128" width="8" style="165" customWidth="1"/>
    <col min="5129" max="5129" width="4.5" style="165" customWidth="1"/>
    <col min="5130" max="5130" width="6.75" style="165" customWidth="1"/>
    <col min="5131" max="5131" width="5.375" style="165" customWidth="1"/>
    <col min="5132" max="5132" width="6" style="165" customWidth="1"/>
    <col min="5133" max="5376" width="9" style="165"/>
    <col min="5377" max="5377" width="2.75" style="165" customWidth="1"/>
    <col min="5378" max="5378" width="20.875" style="165" customWidth="1"/>
    <col min="5379" max="5379" width="23.125" style="165" customWidth="1"/>
    <col min="5380" max="5380" width="15.125" style="165" customWidth="1"/>
    <col min="5381" max="5381" width="21.625" style="165" customWidth="1"/>
    <col min="5382" max="5382" width="9.75" style="165" customWidth="1"/>
    <col min="5383" max="5383" width="8.25" style="165" customWidth="1"/>
    <col min="5384" max="5384" width="8" style="165" customWidth="1"/>
    <col min="5385" max="5385" width="4.5" style="165" customWidth="1"/>
    <col min="5386" max="5386" width="6.75" style="165" customWidth="1"/>
    <col min="5387" max="5387" width="5.375" style="165" customWidth="1"/>
    <col min="5388" max="5388" width="6" style="165" customWidth="1"/>
    <col min="5389" max="5632" width="9" style="165"/>
    <col min="5633" max="5633" width="2.75" style="165" customWidth="1"/>
    <col min="5634" max="5634" width="20.875" style="165" customWidth="1"/>
    <col min="5635" max="5635" width="23.125" style="165" customWidth="1"/>
    <col min="5636" max="5636" width="15.125" style="165" customWidth="1"/>
    <col min="5637" max="5637" width="21.625" style="165" customWidth="1"/>
    <col min="5638" max="5638" width="9.75" style="165" customWidth="1"/>
    <col min="5639" max="5639" width="8.25" style="165" customWidth="1"/>
    <col min="5640" max="5640" width="8" style="165" customWidth="1"/>
    <col min="5641" max="5641" width="4.5" style="165" customWidth="1"/>
    <col min="5642" max="5642" width="6.75" style="165" customWidth="1"/>
    <col min="5643" max="5643" width="5.375" style="165" customWidth="1"/>
    <col min="5644" max="5644" width="6" style="165" customWidth="1"/>
    <col min="5645" max="5888" width="9" style="165"/>
    <col min="5889" max="5889" width="2.75" style="165" customWidth="1"/>
    <col min="5890" max="5890" width="20.875" style="165" customWidth="1"/>
    <col min="5891" max="5891" width="23.125" style="165" customWidth="1"/>
    <col min="5892" max="5892" width="15.125" style="165" customWidth="1"/>
    <col min="5893" max="5893" width="21.625" style="165" customWidth="1"/>
    <col min="5894" max="5894" width="9.75" style="165" customWidth="1"/>
    <col min="5895" max="5895" width="8.25" style="165" customWidth="1"/>
    <col min="5896" max="5896" width="8" style="165" customWidth="1"/>
    <col min="5897" max="5897" width="4.5" style="165" customWidth="1"/>
    <col min="5898" max="5898" width="6.75" style="165" customWidth="1"/>
    <col min="5899" max="5899" width="5.375" style="165" customWidth="1"/>
    <col min="5900" max="5900" width="6" style="165" customWidth="1"/>
    <col min="5901" max="6144" width="9" style="165"/>
    <col min="6145" max="6145" width="2.75" style="165" customWidth="1"/>
    <col min="6146" max="6146" width="20.875" style="165" customWidth="1"/>
    <col min="6147" max="6147" width="23.125" style="165" customWidth="1"/>
    <col min="6148" max="6148" width="15.125" style="165" customWidth="1"/>
    <col min="6149" max="6149" width="21.625" style="165" customWidth="1"/>
    <col min="6150" max="6150" width="9.75" style="165" customWidth="1"/>
    <col min="6151" max="6151" width="8.25" style="165" customWidth="1"/>
    <col min="6152" max="6152" width="8" style="165" customWidth="1"/>
    <col min="6153" max="6153" width="4.5" style="165" customWidth="1"/>
    <col min="6154" max="6154" width="6.75" style="165" customWidth="1"/>
    <col min="6155" max="6155" width="5.375" style="165" customWidth="1"/>
    <col min="6156" max="6156" width="6" style="165" customWidth="1"/>
    <col min="6157" max="6400" width="9" style="165"/>
    <col min="6401" max="6401" width="2.75" style="165" customWidth="1"/>
    <col min="6402" max="6402" width="20.875" style="165" customWidth="1"/>
    <col min="6403" max="6403" width="23.125" style="165" customWidth="1"/>
    <col min="6404" max="6404" width="15.125" style="165" customWidth="1"/>
    <col min="6405" max="6405" width="21.625" style="165" customWidth="1"/>
    <col min="6406" max="6406" width="9.75" style="165" customWidth="1"/>
    <col min="6407" max="6407" width="8.25" style="165" customWidth="1"/>
    <col min="6408" max="6408" width="8" style="165" customWidth="1"/>
    <col min="6409" max="6409" width="4.5" style="165" customWidth="1"/>
    <col min="6410" max="6410" width="6.75" style="165" customWidth="1"/>
    <col min="6411" max="6411" width="5.375" style="165" customWidth="1"/>
    <col min="6412" max="6412" width="6" style="165" customWidth="1"/>
    <col min="6413" max="6656" width="9" style="165"/>
    <col min="6657" max="6657" width="2.75" style="165" customWidth="1"/>
    <col min="6658" max="6658" width="20.875" style="165" customWidth="1"/>
    <col min="6659" max="6659" width="23.125" style="165" customWidth="1"/>
    <col min="6660" max="6660" width="15.125" style="165" customWidth="1"/>
    <col min="6661" max="6661" width="21.625" style="165" customWidth="1"/>
    <col min="6662" max="6662" width="9.75" style="165" customWidth="1"/>
    <col min="6663" max="6663" width="8.25" style="165" customWidth="1"/>
    <col min="6664" max="6664" width="8" style="165" customWidth="1"/>
    <col min="6665" max="6665" width="4.5" style="165" customWidth="1"/>
    <col min="6666" max="6666" width="6.75" style="165" customWidth="1"/>
    <col min="6667" max="6667" width="5.375" style="165" customWidth="1"/>
    <col min="6668" max="6668" width="6" style="165" customWidth="1"/>
    <col min="6669" max="6912" width="9" style="165"/>
    <col min="6913" max="6913" width="2.75" style="165" customWidth="1"/>
    <col min="6914" max="6914" width="20.875" style="165" customWidth="1"/>
    <col min="6915" max="6915" width="23.125" style="165" customWidth="1"/>
    <col min="6916" max="6916" width="15.125" style="165" customWidth="1"/>
    <col min="6917" max="6917" width="21.625" style="165" customWidth="1"/>
    <col min="6918" max="6918" width="9.75" style="165" customWidth="1"/>
    <col min="6919" max="6919" width="8.25" style="165" customWidth="1"/>
    <col min="6920" max="6920" width="8" style="165" customWidth="1"/>
    <col min="6921" max="6921" width="4.5" style="165" customWidth="1"/>
    <col min="6922" max="6922" width="6.75" style="165" customWidth="1"/>
    <col min="6923" max="6923" width="5.375" style="165" customWidth="1"/>
    <col min="6924" max="6924" width="6" style="165" customWidth="1"/>
    <col min="6925" max="7168" width="9" style="165"/>
    <col min="7169" max="7169" width="2.75" style="165" customWidth="1"/>
    <col min="7170" max="7170" width="20.875" style="165" customWidth="1"/>
    <col min="7171" max="7171" width="23.125" style="165" customWidth="1"/>
    <col min="7172" max="7172" width="15.125" style="165" customWidth="1"/>
    <col min="7173" max="7173" width="21.625" style="165" customWidth="1"/>
    <col min="7174" max="7174" width="9.75" style="165" customWidth="1"/>
    <col min="7175" max="7175" width="8.25" style="165" customWidth="1"/>
    <col min="7176" max="7176" width="8" style="165" customWidth="1"/>
    <col min="7177" max="7177" width="4.5" style="165" customWidth="1"/>
    <col min="7178" max="7178" width="6.75" style="165" customWidth="1"/>
    <col min="7179" max="7179" width="5.375" style="165" customWidth="1"/>
    <col min="7180" max="7180" width="6" style="165" customWidth="1"/>
    <col min="7181" max="7424" width="9" style="165"/>
    <col min="7425" max="7425" width="2.75" style="165" customWidth="1"/>
    <col min="7426" max="7426" width="20.875" style="165" customWidth="1"/>
    <col min="7427" max="7427" width="23.125" style="165" customWidth="1"/>
    <col min="7428" max="7428" width="15.125" style="165" customWidth="1"/>
    <col min="7429" max="7429" width="21.625" style="165" customWidth="1"/>
    <col min="7430" max="7430" width="9.75" style="165" customWidth="1"/>
    <col min="7431" max="7431" width="8.25" style="165" customWidth="1"/>
    <col min="7432" max="7432" width="8" style="165" customWidth="1"/>
    <col min="7433" max="7433" width="4.5" style="165" customWidth="1"/>
    <col min="7434" max="7434" width="6.75" style="165" customWidth="1"/>
    <col min="7435" max="7435" width="5.375" style="165" customWidth="1"/>
    <col min="7436" max="7436" width="6" style="165" customWidth="1"/>
    <col min="7437" max="7680" width="9" style="165"/>
    <col min="7681" max="7681" width="2.75" style="165" customWidth="1"/>
    <col min="7682" max="7682" width="20.875" style="165" customWidth="1"/>
    <col min="7683" max="7683" width="23.125" style="165" customWidth="1"/>
    <col min="7684" max="7684" width="15.125" style="165" customWidth="1"/>
    <col min="7685" max="7685" width="21.625" style="165" customWidth="1"/>
    <col min="7686" max="7686" width="9.75" style="165" customWidth="1"/>
    <col min="7687" max="7687" width="8.25" style="165" customWidth="1"/>
    <col min="7688" max="7688" width="8" style="165" customWidth="1"/>
    <col min="7689" max="7689" width="4.5" style="165" customWidth="1"/>
    <col min="7690" max="7690" width="6.75" style="165" customWidth="1"/>
    <col min="7691" max="7691" width="5.375" style="165" customWidth="1"/>
    <col min="7692" max="7692" width="6" style="165" customWidth="1"/>
    <col min="7693" max="7936" width="9" style="165"/>
    <col min="7937" max="7937" width="2.75" style="165" customWidth="1"/>
    <col min="7938" max="7938" width="20.875" style="165" customWidth="1"/>
    <col min="7939" max="7939" width="23.125" style="165" customWidth="1"/>
    <col min="7940" max="7940" width="15.125" style="165" customWidth="1"/>
    <col min="7941" max="7941" width="21.625" style="165" customWidth="1"/>
    <col min="7942" max="7942" width="9.75" style="165" customWidth="1"/>
    <col min="7943" max="7943" width="8.25" style="165" customWidth="1"/>
    <col min="7944" max="7944" width="8" style="165" customWidth="1"/>
    <col min="7945" max="7945" width="4.5" style="165" customWidth="1"/>
    <col min="7946" max="7946" width="6.75" style="165" customWidth="1"/>
    <col min="7947" max="7947" width="5.375" style="165" customWidth="1"/>
    <col min="7948" max="7948" width="6" style="165" customWidth="1"/>
    <col min="7949" max="8192" width="9" style="165"/>
    <col min="8193" max="8193" width="2.75" style="165" customWidth="1"/>
    <col min="8194" max="8194" width="20.875" style="165" customWidth="1"/>
    <col min="8195" max="8195" width="23.125" style="165" customWidth="1"/>
    <col min="8196" max="8196" width="15.125" style="165" customWidth="1"/>
    <col min="8197" max="8197" width="21.625" style="165" customWidth="1"/>
    <col min="8198" max="8198" width="9.75" style="165" customWidth="1"/>
    <col min="8199" max="8199" width="8.25" style="165" customWidth="1"/>
    <col min="8200" max="8200" width="8" style="165" customWidth="1"/>
    <col min="8201" max="8201" width="4.5" style="165" customWidth="1"/>
    <col min="8202" max="8202" width="6.75" style="165" customWidth="1"/>
    <col min="8203" max="8203" width="5.375" style="165" customWidth="1"/>
    <col min="8204" max="8204" width="6" style="165" customWidth="1"/>
    <col min="8205" max="8448" width="9" style="165"/>
    <col min="8449" max="8449" width="2.75" style="165" customWidth="1"/>
    <col min="8450" max="8450" width="20.875" style="165" customWidth="1"/>
    <col min="8451" max="8451" width="23.125" style="165" customWidth="1"/>
    <col min="8452" max="8452" width="15.125" style="165" customWidth="1"/>
    <col min="8453" max="8453" width="21.625" style="165" customWidth="1"/>
    <col min="8454" max="8454" width="9.75" style="165" customWidth="1"/>
    <col min="8455" max="8455" width="8.25" style="165" customWidth="1"/>
    <col min="8456" max="8456" width="8" style="165" customWidth="1"/>
    <col min="8457" max="8457" width="4.5" style="165" customWidth="1"/>
    <col min="8458" max="8458" width="6.75" style="165" customWidth="1"/>
    <col min="8459" max="8459" width="5.375" style="165" customWidth="1"/>
    <col min="8460" max="8460" width="6" style="165" customWidth="1"/>
    <col min="8461" max="8704" width="9" style="165"/>
    <col min="8705" max="8705" width="2.75" style="165" customWidth="1"/>
    <col min="8706" max="8706" width="20.875" style="165" customWidth="1"/>
    <col min="8707" max="8707" width="23.125" style="165" customWidth="1"/>
    <col min="8708" max="8708" width="15.125" style="165" customWidth="1"/>
    <col min="8709" max="8709" width="21.625" style="165" customWidth="1"/>
    <col min="8710" max="8710" width="9.75" style="165" customWidth="1"/>
    <col min="8711" max="8711" width="8.25" style="165" customWidth="1"/>
    <col min="8712" max="8712" width="8" style="165" customWidth="1"/>
    <col min="8713" max="8713" width="4.5" style="165" customWidth="1"/>
    <col min="8714" max="8714" width="6.75" style="165" customWidth="1"/>
    <col min="8715" max="8715" width="5.375" style="165" customWidth="1"/>
    <col min="8716" max="8716" width="6" style="165" customWidth="1"/>
    <col min="8717" max="8960" width="9" style="165"/>
    <col min="8961" max="8961" width="2.75" style="165" customWidth="1"/>
    <col min="8962" max="8962" width="20.875" style="165" customWidth="1"/>
    <col min="8963" max="8963" width="23.125" style="165" customWidth="1"/>
    <col min="8964" max="8964" width="15.125" style="165" customWidth="1"/>
    <col min="8965" max="8965" width="21.625" style="165" customWidth="1"/>
    <col min="8966" max="8966" width="9.75" style="165" customWidth="1"/>
    <col min="8967" max="8967" width="8.25" style="165" customWidth="1"/>
    <col min="8968" max="8968" width="8" style="165" customWidth="1"/>
    <col min="8969" max="8969" width="4.5" style="165" customWidth="1"/>
    <col min="8970" max="8970" width="6.75" style="165" customWidth="1"/>
    <col min="8971" max="8971" width="5.375" style="165" customWidth="1"/>
    <col min="8972" max="8972" width="6" style="165" customWidth="1"/>
    <col min="8973" max="9216" width="9" style="165"/>
    <col min="9217" max="9217" width="2.75" style="165" customWidth="1"/>
    <col min="9218" max="9218" width="20.875" style="165" customWidth="1"/>
    <col min="9219" max="9219" width="23.125" style="165" customWidth="1"/>
    <col min="9220" max="9220" width="15.125" style="165" customWidth="1"/>
    <col min="9221" max="9221" width="21.625" style="165" customWidth="1"/>
    <col min="9222" max="9222" width="9.75" style="165" customWidth="1"/>
    <col min="9223" max="9223" width="8.25" style="165" customWidth="1"/>
    <col min="9224" max="9224" width="8" style="165" customWidth="1"/>
    <col min="9225" max="9225" width="4.5" style="165" customWidth="1"/>
    <col min="9226" max="9226" width="6.75" style="165" customWidth="1"/>
    <col min="9227" max="9227" width="5.375" style="165" customWidth="1"/>
    <col min="9228" max="9228" width="6" style="165" customWidth="1"/>
    <col min="9229" max="9472" width="9" style="165"/>
    <col min="9473" max="9473" width="2.75" style="165" customWidth="1"/>
    <col min="9474" max="9474" width="20.875" style="165" customWidth="1"/>
    <col min="9475" max="9475" width="23.125" style="165" customWidth="1"/>
    <col min="9476" max="9476" width="15.125" style="165" customWidth="1"/>
    <col min="9477" max="9477" width="21.625" style="165" customWidth="1"/>
    <col min="9478" max="9478" width="9.75" style="165" customWidth="1"/>
    <col min="9479" max="9479" width="8.25" style="165" customWidth="1"/>
    <col min="9480" max="9480" width="8" style="165" customWidth="1"/>
    <col min="9481" max="9481" width="4.5" style="165" customWidth="1"/>
    <col min="9482" max="9482" width="6.75" style="165" customWidth="1"/>
    <col min="9483" max="9483" width="5.375" style="165" customWidth="1"/>
    <col min="9484" max="9484" width="6" style="165" customWidth="1"/>
    <col min="9485" max="9728" width="9" style="165"/>
    <col min="9729" max="9729" width="2.75" style="165" customWidth="1"/>
    <col min="9730" max="9730" width="20.875" style="165" customWidth="1"/>
    <col min="9731" max="9731" width="23.125" style="165" customWidth="1"/>
    <col min="9732" max="9732" width="15.125" style="165" customWidth="1"/>
    <col min="9733" max="9733" width="21.625" style="165" customWidth="1"/>
    <col min="9734" max="9734" width="9.75" style="165" customWidth="1"/>
    <col min="9735" max="9735" width="8.25" style="165" customWidth="1"/>
    <col min="9736" max="9736" width="8" style="165" customWidth="1"/>
    <col min="9737" max="9737" width="4.5" style="165" customWidth="1"/>
    <col min="9738" max="9738" width="6.75" style="165" customWidth="1"/>
    <col min="9739" max="9739" width="5.375" style="165" customWidth="1"/>
    <col min="9740" max="9740" width="6" style="165" customWidth="1"/>
    <col min="9741" max="9984" width="9" style="165"/>
    <col min="9985" max="9985" width="2.75" style="165" customWidth="1"/>
    <col min="9986" max="9986" width="20.875" style="165" customWidth="1"/>
    <col min="9987" max="9987" width="23.125" style="165" customWidth="1"/>
    <col min="9988" max="9988" width="15.125" style="165" customWidth="1"/>
    <col min="9989" max="9989" width="21.625" style="165" customWidth="1"/>
    <col min="9990" max="9990" width="9.75" style="165" customWidth="1"/>
    <col min="9991" max="9991" width="8.25" style="165" customWidth="1"/>
    <col min="9992" max="9992" width="8" style="165" customWidth="1"/>
    <col min="9993" max="9993" width="4.5" style="165" customWidth="1"/>
    <col min="9994" max="9994" width="6.75" style="165" customWidth="1"/>
    <col min="9995" max="9995" width="5.375" style="165" customWidth="1"/>
    <col min="9996" max="9996" width="6" style="165" customWidth="1"/>
    <col min="9997" max="10240" width="9" style="165"/>
    <col min="10241" max="10241" width="2.75" style="165" customWidth="1"/>
    <col min="10242" max="10242" width="20.875" style="165" customWidth="1"/>
    <col min="10243" max="10243" width="23.125" style="165" customWidth="1"/>
    <col min="10244" max="10244" width="15.125" style="165" customWidth="1"/>
    <col min="10245" max="10245" width="21.625" style="165" customWidth="1"/>
    <col min="10246" max="10246" width="9.75" style="165" customWidth="1"/>
    <col min="10247" max="10247" width="8.25" style="165" customWidth="1"/>
    <col min="10248" max="10248" width="8" style="165" customWidth="1"/>
    <col min="10249" max="10249" width="4.5" style="165" customWidth="1"/>
    <col min="10250" max="10250" width="6.75" style="165" customWidth="1"/>
    <col min="10251" max="10251" width="5.375" style="165" customWidth="1"/>
    <col min="10252" max="10252" width="6" style="165" customWidth="1"/>
    <col min="10253" max="10496" width="9" style="165"/>
    <col min="10497" max="10497" width="2.75" style="165" customWidth="1"/>
    <col min="10498" max="10498" width="20.875" style="165" customWidth="1"/>
    <col min="10499" max="10499" width="23.125" style="165" customWidth="1"/>
    <col min="10500" max="10500" width="15.125" style="165" customWidth="1"/>
    <col min="10501" max="10501" width="21.625" style="165" customWidth="1"/>
    <col min="10502" max="10502" width="9.75" style="165" customWidth="1"/>
    <col min="10503" max="10503" width="8.25" style="165" customWidth="1"/>
    <col min="10504" max="10504" width="8" style="165" customWidth="1"/>
    <col min="10505" max="10505" width="4.5" style="165" customWidth="1"/>
    <col min="10506" max="10506" width="6.75" style="165" customWidth="1"/>
    <col min="10507" max="10507" width="5.375" style="165" customWidth="1"/>
    <col min="10508" max="10508" width="6" style="165" customWidth="1"/>
    <col min="10509" max="10752" width="9" style="165"/>
    <col min="10753" max="10753" width="2.75" style="165" customWidth="1"/>
    <col min="10754" max="10754" width="20.875" style="165" customWidth="1"/>
    <col min="10755" max="10755" width="23.125" style="165" customWidth="1"/>
    <col min="10756" max="10756" width="15.125" style="165" customWidth="1"/>
    <col min="10757" max="10757" width="21.625" style="165" customWidth="1"/>
    <col min="10758" max="10758" width="9.75" style="165" customWidth="1"/>
    <col min="10759" max="10759" width="8.25" style="165" customWidth="1"/>
    <col min="10760" max="10760" width="8" style="165" customWidth="1"/>
    <col min="10761" max="10761" width="4.5" style="165" customWidth="1"/>
    <col min="10762" max="10762" width="6.75" style="165" customWidth="1"/>
    <col min="10763" max="10763" width="5.375" style="165" customWidth="1"/>
    <col min="10764" max="10764" width="6" style="165" customWidth="1"/>
    <col min="10765" max="11008" width="9" style="165"/>
    <col min="11009" max="11009" width="2.75" style="165" customWidth="1"/>
    <col min="11010" max="11010" width="20.875" style="165" customWidth="1"/>
    <col min="11011" max="11011" width="23.125" style="165" customWidth="1"/>
    <col min="11012" max="11012" width="15.125" style="165" customWidth="1"/>
    <col min="11013" max="11013" width="21.625" style="165" customWidth="1"/>
    <col min="11014" max="11014" width="9.75" style="165" customWidth="1"/>
    <col min="11015" max="11015" width="8.25" style="165" customWidth="1"/>
    <col min="11016" max="11016" width="8" style="165" customWidth="1"/>
    <col min="11017" max="11017" width="4.5" style="165" customWidth="1"/>
    <col min="11018" max="11018" width="6.75" style="165" customWidth="1"/>
    <col min="11019" max="11019" width="5.375" style="165" customWidth="1"/>
    <col min="11020" max="11020" width="6" style="165" customWidth="1"/>
    <col min="11021" max="11264" width="9" style="165"/>
    <col min="11265" max="11265" width="2.75" style="165" customWidth="1"/>
    <col min="11266" max="11266" width="20.875" style="165" customWidth="1"/>
    <col min="11267" max="11267" width="23.125" style="165" customWidth="1"/>
    <col min="11268" max="11268" width="15.125" style="165" customWidth="1"/>
    <col min="11269" max="11269" width="21.625" style="165" customWidth="1"/>
    <col min="11270" max="11270" width="9.75" style="165" customWidth="1"/>
    <col min="11271" max="11271" width="8.25" style="165" customWidth="1"/>
    <col min="11272" max="11272" width="8" style="165" customWidth="1"/>
    <col min="11273" max="11273" width="4.5" style="165" customWidth="1"/>
    <col min="11274" max="11274" width="6.75" style="165" customWidth="1"/>
    <col min="11275" max="11275" width="5.375" style="165" customWidth="1"/>
    <col min="11276" max="11276" width="6" style="165" customWidth="1"/>
    <col min="11277" max="11520" width="9" style="165"/>
    <col min="11521" max="11521" width="2.75" style="165" customWidth="1"/>
    <col min="11522" max="11522" width="20.875" style="165" customWidth="1"/>
    <col min="11523" max="11523" width="23.125" style="165" customWidth="1"/>
    <col min="11524" max="11524" width="15.125" style="165" customWidth="1"/>
    <col min="11525" max="11525" width="21.625" style="165" customWidth="1"/>
    <col min="11526" max="11526" width="9.75" style="165" customWidth="1"/>
    <col min="11527" max="11527" width="8.25" style="165" customWidth="1"/>
    <col min="11528" max="11528" width="8" style="165" customWidth="1"/>
    <col min="11529" max="11529" width="4.5" style="165" customWidth="1"/>
    <col min="11530" max="11530" width="6.75" style="165" customWidth="1"/>
    <col min="11531" max="11531" width="5.375" style="165" customWidth="1"/>
    <col min="11532" max="11532" width="6" style="165" customWidth="1"/>
    <col min="11533" max="11776" width="9" style="165"/>
    <col min="11777" max="11777" width="2.75" style="165" customWidth="1"/>
    <col min="11778" max="11778" width="20.875" style="165" customWidth="1"/>
    <col min="11779" max="11779" width="23.125" style="165" customWidth="1"/>
    <col min="11780" max="11780" width="15.125" style="165" customWidth="1"/>
    <col min="11781" max="11781" width="21.625" style="165" customWidth="1"/>
    <col min="11782" max="11782" width="9.75" style="165" customWidth="1"/>
    <col min="11783" max="11783" width="8.25" style="165" customWidth="1"/>
    <col min="11784" max="11784" width="8" style="165" customWidth="1"/>
    <col min="11785" max="11785" width="4.5" style="165" customWidth="1"/>
    <col min="11786" max="11786" width="6.75" style="165" customWidth="1"/>
    <col min="11787" max="11787" width="5.375" style="165" customWidth="1"/>
    <col min="11788" max="11788" width="6" style="165" customWidth="1"/>
    <col min="11789" max="12032" width="9" style="165"/>
    <col min="12033" max="12033" width="2.75" style="165" customWidth="1"/>
    <col min="12034" max="12034" width="20.875" style="165" customWidth="1"/>
    <col min="12035" max="12035" width="23.125" style="165" customWidth="1"/>
    <col min="12036" max="12036" width="15.125" style="165" customWidth="1"/>
    <col min="12037" max="12037" width="21.625" style="165" customWidth="1"/>
    <col min="12038" max="12038" width="9.75" style="165" customWidth="1"/>
    <col min="12039" max="12039" width="8.25" style="165" customWidth="1"/>
    <col min="12040" max="12040" width="8" style="165" customWidth="1"/>
    <col min="12041" max="12041" width="4.5" style="165" customWidth="1"/>
    <col min="12042" max="12042" width="6.75" style="165" customWidth="1"/>
    <col min="12043" max="12043" width="5.375" style="165" customWidth="1"/>
    <col min="12044" max="12044" width="6" style="165" customWidth="1"/>
    <col min="12045" max="12288" width="9" style="165"/>
    <col min="12289" max="12289" width="2.75" style="165" customWidth="1"/>
    <col min="12290" max="12290" width="20.875" style="165" customWidth="1"/>
    <col min="12291" max="12291" width="23.125" style="165" customWidth="1"/>
    <col min="12292" max="12292" width="15.125" style="165" customWidth="1"/>
    <col min="12293" max="12293" width="21.625" style="165" customWidth="1"/>
    <col min="12294" max="12294" width="9.75" style="165" customWidth="1"/>
    <col min="12295" max="12295" width="8.25" style="165" customWidth="1"/>
    <col min="12296" max="12296" width="8" style="165" customWidth="1"/>
    <col min="12297" max="12297" width="4.5" style="165" customWidth="1"/>
    <col min="12298" max="12298" width="6.75" style="165" customWidth="1"/>
    <col min="12299" max="12299" width="5.375" style="165" customWidth="1"/>
    <col min="12300" max="12300" width="6" style="165" customWidth="1"/>
    <col min="12301" max="12544" width="9" style="165"/>
    <col min="12545" max="12545" width="2.75" style="165" customWidth="1"/>
    <col min="12546" max="12546" width="20.875" style="165" customWidth="1"/>
    <col min="12547" max="12547" width="23.125" style="165" customWidth="1"/>
    <col min="12548" max="12548" width="15.125" style="165" customWidth="1"/>
    <col min="12549" max="12549" width="21.625" style="165" customWidth="1"/>
    <col min="12550" max="12550" width="9.75" style="165" customWidth="1"/>
    <col min="12551" max="12551" width="8.25" style="165" customWidth="1"/>
    <col min="12552" max="12552" width="8" style="165" customWidth="1"/>
    <col min="12553" max="12553" width="4.5" style="165" customWidth="1"/>
    <col min="12554" max="12554" width="6.75" style="165" customWidth="1"/>
    <col min="12555" max="12555" width="5.375" style="165" customWidth="1"/>
    <col min="12556" max="12556" width="6" style="165" customWidth="1"/>
    <col min="12557" max="12800" width="9" style="165"/>
    <col min="12801" max="12801" width="2.75" style="165" customWidth="1"/>
    <col min="12802" max="12802" width="20.875" style="165" customWidth="1"/>
    <col min="12803" max="12803" width="23.125" style="165" customWidth="1"/>
    <col min="12804" max="12804" width="15.125" style="165" customWidth="1"/>
    <col min="12805" max="12805" width="21.625" style="165" customWidth="1"/>
    <col min="12806" max="12806" width="9.75" style="165" customWidth="1"/>
    <col min="12807" max="12807" width="8.25" style="165" customWidth="1"/>
    <col min="12808" max="12808" width="8" style="165" customWidth="1"/>
    <col min="12809" max="12809" width="4.5" style="165" customWidth="1"/>
    <col min="12810" max="12810" width="6.75" style="165" customWidth="1"/>
    <col min="12811" max="12811" width="5.375" style="165" customWidth="1"/>
    <col min="12812" max="12812" width="6" style="165" customWidth="1"/>
    <col min="12813" max="13056" width="9" style="165"/>
    <col min="13057" max="13057" width="2.75" style="165" customWidth="1"/>
    <col min="13058" max="13058" width="20.875" style="165" customWidth="1"/>
    <col min="13059" max="13059" width="23.125" style="165" customWidth="1"/>
    <col min="13060" max="13060" width="15.125" style="165" customWidth="1"/>
    <col min="13061" max="13061" width="21.625" style="165" customWidth="1"/>
    <col min="13062" max="13062" width="9.75" style="165" customWidth="1"/>
    <col min="13063" max="13063" width="8.25" style="165" customWidth="1"/>
    <col min="13064" max="13064" width="8" style="165" customWidth="1"/>
    <col min="13065" max="13065" width="4.5" style="165" customWidth="1"/>
    <col min="13066" max="13066" width="6.75" style="165" customWidth="1"/>
    <col min="13067" max="13067" width="5.375" style="165" customWidth="1"/>
    <col min="13068" max="13068" width="6" style="165" customWidth="1"/>
    <col min="13069" max="13312" width="9" style="165"/>
    <col min="13313" max="13313" width="2.75" style="165" customWidth="1"/>
    <col min="13314" max="13314" width="20.875" style="165" customWidth="1"/>
    <col min="13315" max="13315" width="23.125" style="165" customWidth="1"/>
    <col min="13316" max="13316" width="15.125" style="165" customWidth="1"/>
    <col min="13317" max="13317" width="21.625" style="165" customWidth="1"/>
    <col min="13318" max="13318" width="9.75" style="165" customWidth="1"/>
    <col min="13319" max="13319" width="8.25" style="165" customWidth="1"/>
    <col min="13320" max="13320" width="8" style="165" customWidth="1"/>
    <col min="13321" max="13321" width="4.5" style="165" customWidth="1"/>
    <col min="13322" max="13322" width="6.75" style="165" customWidth="1"/>
    <col min="13323" max="13323" width="5.375" style="165" customWidth="1"/>
    <col min="13324" max="13324" width="6" style="165" customWidth="1"/>
    <col min="13325" max="13568" width="9" style="165"/>
    <col min="13569" max="13569" width="2.75" style="165" customWidth="1"/>
    <col min="13570" max="13570" width="20.875" style="165" customWidth="1"/>
    <col min="13571" max="13571" width="23.125" style="165" customWidth="1"/>
    <col min="13572" max="13572" width="15.125" style="165" customWidth="1"/>
    <col min="13573" max="13573" width="21.625" style="165" customWidth="1"/>
    <col min="13574" max="13574" width="9.75" style="165" customWidth="1"/>
    <col min="13575" max="13575" width="8.25" style="165" customWidth="1"/>
    <col min="13576" max="13576" width="8" style="165" customWidth="1"/>
    <col min="13577" max="13577" width="4.5" style="165" customWidth="1"/>
    <col min="13578" max="13578" width="6.75" style="165" customWidth="1"/>
    <col min="13579" max="13579" width="5.375" style="165" customWidth="1"/>
    <col min="13580" max="13580" width="6" style="165" customWidth="1"/>
    <col min="13581" max="13824" width="9" style="165"/>
    <col min="13825" max="13825" width="2.75" style="165" customWidth="1"/>
    <col min="13826" max="13826" width="20.875" style="165" customWidth="1"/>
    <col min="13827" max="13827" width="23.125" style="165" customWidth="1"/>
    <col min="13828" max="13828" width="15.125" style="165" customWidth="1"/>
    <col min="13829" max="13829" width="21.625" style="165" customWidth="1"/>
    <col min="13830" max="13830" width="9.75" style="165" customWidth="1"/>
    <col min="13831" max="13831" width="8.25" style="165" customWidth="1"/>
    <col min="13832" max="13832" width="8" style="165" customWidth="1"/>
    <col min="13833" max="13833" width="4.5" style="165" customWidth="1"/>
    <col min="13834" max="13834" width="6.75" style="165" customWidth="1"/>
    <col min="13835" max="13835" width="5.375" style="165" customWidth="1"/>
    <col min="13836" max="13836" width="6" style="165" customWidth="1"/>
    <col min="13837" max="14080" width="9" style="165"/>
    <col min="14081" max="14081" width="2.75" style="165" customWidth="1"/>
    <col min="14082" max="14082" width="20.875" style="165" customWidth="1"/>
    <col min="14083" max="14083" width="23.125" style="165" customWidth="1"/>
    <col min="14084" max="14084" width="15.125" style="165" customWidth="1"/>
    <col min="14085" max="14085" width="21.625" style="165" customWidth="1"/>
    <col min="14086" max="14086" width="9.75" style="165" customWidth="1"/>
    <col min="14087" max="14087" width="8.25" style="165" customWidth="1"/>
    <col min="14088" max="14088" width="8" style="165" customWidth="1"/>
    <col min="14089" max="14089" width="4.5" style="165" customWidth="1"/>
    <col min="14090" max="14090" width="6.75" style="165" customWidth="1"/>
    <col min="14091" max="14091" width="5.375" style="165" customWidth="1"/>
    <col min="14092" max="14092" width="6" style="165" customWidth="1"/>
    <col min="14093" max="14336" width="9" style="165"/>
    <col min="14337" max="14337" width="2.75" style="165" customWidth="1"/>
    <col min="14338" max="14338" width="20.875" style="165" customWidth="1"/>
    <col min="14339" max="14339" width="23.125" style="165" customWidth="1"/>
    <col min="14340" max="14340" width="15.125" style="165" customWidth="1"/>
    <col min="14341" max="14341" width="21.625" style="165" customWidth="1"/>
    <col min="14342" max="14342" width="9.75" style="165" customWidth="1"/>
    <col min="14343" max="14343" width="8.25" style="165" customWidth="1"/>
    <col min="14344" max="14344" width="8" style="165" customWidth="1"/>
    <col min="14345" max="14345" width="4.5" style="165" customWidth="1"/>
    <col min="14346" max="14346" width="6.75" style="165" customWidth="1"/>
    <col min="14347" max="14347" width="5.375" style="165" customWidth="1"/>
    <col min="14348" max="14348" width="6" style="165" customWidth="1"/>
    <col min="14349" max="14592" width="9" style="165"/>
    <col min="14593" max="14593" width="2.75" style="165" customWidth="1"/>
    <col min="14594" max="14594" width="20.875" style="165" customWidth="1"/>
    <col min="14595" max="14595" width="23.125" style="165" customWidth="1"/>
    <col min="14596" max="14596" width="15.125" style="165" customWidth="1"/>
    <col min="14597" max="14597" width="21.625" style="165" customWidth="1"/>
    <col min="14598" max="14598" width="9.75" style="165" customWidth="1"/>
    <col min="14599" max="14599" width="8.25" style="165" customWidth="1"/>
    <col min="14600" max="14600" width="8" style="165" customWidth="1"/>
    <col min="14601" max="14601" width="4.5" style="165" customWidth="1"/>
    <col min="14602" max="14602" width="6.75" style="165" customWidth="1"/>
    <col min="14603" max="14603" width="5.375" style="165" customWidth="1"/>
    <col min="14604" max="14604" width="6" style="165" customWidth="1"/>
    <col min="14605" max="14848" width="9" style="165"/>
    <col min="14849" max="14849" width="2.75" style="165" customWidth="1"/>
    <col min="14850" max="14850" width="20.875" style="165" customWidth="1"/>
    <col min="14851" max="14851" width="23.125" style="165" customWidth="1"/>
    <col min="14852" max="14852" width="15.125" style="165" customWidth="1"/>
    <col min="14853" max="14853" width="21.625" style="165" customWidth="1"/>
    <col min="14854" max="14854" width="9.75" style="165" customWidth="1"/>
    <col min="14855" max="14855" width="8.25" style="165" customWidth="1"/>
    <col min="14856" max="14856" width="8" style="165" customWidth="1"/>
    <col min="14857" max="14857" width="4.5" style="165" customWidth="1"/>
    <col min="14858" max="14858" width="6.75" style="165" customWidth="1"/>
    <col min="14859" max="14859" width="5.375" style="165" customWidth="1"/>
    <col min="14860" max="14860" width="6" style="165" customWidth="1"/>
    <col min="14861" max="15104" width="9" style="165"/>
    <col min="15105" max="15105" width="2.75" style="165" customWidth="1"/>
    <col min="15106" max="15106" width="20.875" style="165" customWidth="1"/>
    <col min="15107" max="15107" width="23.125" style="165" customWidth="1"/>
    <col min="15108" max="15108" width="15.125" style="165" customWidth="1"/>
    <col min="15109" max="15109" width="21.625" style="165" customWidth="1"/>
    <col min="15110" max="15110" width="9.75" style="165" customWidth="1"/>
    <col min="15111" max="15111" width="8.25" style="165" customWidth="1"/>
    <col min="15112" max="15112" width="8" style="165" customWidth="1"/>
    <col min="15113" max="15113" width="4.5" style="165" customWidth="1"/>
    <col min="15114" max="15114" width="6.75" style="165" customWidth="1"/>
    <col min="15115" max="15115" width="5.375" style="165" customWidth="1"/>
    <col min="15116" max="15116" width="6" style="165" customWidth="1"/>
    <col min="15117" max="15360" width="9" style="165"/>
    <col min="15361" max="15361" width="2.75" style="165" customWidth="1"/>
    <col min="15362" max="15362" width="20.875" style="165" customWidth="1"/>
    <col min="15363" max="15363" width="23.125" style="165" customWidth="1"/>
    <col min="15364" max="15364" width="15.125" style="165" customWidth="1"/>
    <col min="15365" max="15365" width="21.625" style="165" customWidth="1"/>
    <col min="15366" max="15366" width="9.75" style="165" customWidth="1"/>
    <col min="15367" max="15367" width="8.25" style="165" customWidth="1"/>
    <col min="15368" max="15368" width="8" style="165" customWidth="1"/>
    <col min="15369" max="15369" width="4.5" style="165" customWidth="1"/>
    <col min="15370" max="15370" width="6.75" style="165" customWidth="1"/>
    <col min="15371" max="15371" width="5.375" style="165" customWidth="1"/>
    <col min="15372" max="15372" width="6" style="165" customWidth="1"/>
    <col min="15373" max="15616" width="9" style="165"/>
    <col min="15617" max="15617" width="2.75" style="165" customWidth="1"/>
    <col min="15618" max="15618" width="20.875" style="165" customWidth="1"/>
    <col min="15619" max="15619" width="23.125" style="165" customWidth="1"/>
    <col min="15620" max="15620" width="15.125" style="165" customWidth="1"/>
    <col min="15621" max="15621" width="21.625" style="165" customWidth="1"/>
    <col min="15622" max="15622" width="9.75" style="165" customWidth="1"/>
    <col min="15623" max="15623" width="8.25" style="165" customWidth="1"/>
    <col min="15624" max="15624" width="8" style="165" customWidth="1"/>
    <col min="15625" max="15625" width="4.5" style="165" customWidth="1"/>
    <col min="15626" max="15626" width="6.75" style="165" customWidth="1"/>
    <col min="15627" max="15627" width="5.375" style="165" customWidth="1"/>
    <col min="15628" max="15628" width="6" style="165" customWidth="1"/>
    <col min="15629" max="15872" width="9" style="165"/>
    <col min="15873" max="15873" width="2.75" style="165" customWidth="1"/>
    <col min="15874" max="15874" width="20.875" style="165" customWidth="1"/>
    <col min="15875" max="15875" width="23.125" style="165" customWidth="1"/>
    <col min="15876" max="15876" width="15.125" style="165" customWidth="1"/>
    <col min="15877" max="15877" width="21.625" style="165" customWidth="1"/>
    <col min="15878" max="15878" width="9.75" style="165" customWidth="1"/>
    <col min="15879" max="15879" width="8.25" style="165" customWidth="1"/>
    <col min="15880" max="15880" width="8" style="165" customWidth="1"/>
    <col min="15881" max="15881" width="4.5" style="165" customWidth="1"/>
    <col min="15882" max="15882" width="6.75" style="165" customWidth="1"/>
    <col min="15883" max="15883" width="5.375" style="165" customWidth="1"/>
    <col min="15884" max="15884" width="6" style="165" customWidth="1"/>
    <col min="15885" max="16128" width="9" style="165"/>
    <col min="16129" max="16129" width="2.75" style="165" customWidth="1"/>
    <col min="16130" max="16130" width="20.875" style="165" customWidth="1"/>
    <col min="16131" max="16131" width="23.125" style="165" customWidth="1"/>
    <col min="16132" max="16132" width="15.125" style="165" customWidth="1"/>
    <col min="16133" max="16133" width="21.625" style="165" customWidth="1"/>
    <col min="16134" max="16134" width="9.75" style="165" customWidth="1"/>
    <col min="16135" max="16135" width="8.25" style="165" customWidth="1"/>
    <col min="16136" max="16136" width="8" style="165" customWidth="1"/>
    <col min="16137" max="16137" width="4.5" style="165" customWidth="1"/>
    <col min="16138" max="16138" width="6.75" style="165" customWidth="1"/>
    <col min="16139" max="16139" width="5.375" style="165" customWidth="1"/>
    <col min="16140" max="16140" width="6" style="165" customWidth="1"/>
    <col min="16141" max="16384" width="9" style="165"/>
  </cols>
  <sheetData>
    <row r="1" spans="1:9" ht="24" customHeight="1">
      <c r="A1" s="865" t="s">
        <v>153</v>
      </c>
      <c r="B1" s="865"/>
      <c r="C1" s="865"/>
      <c r="D1" s="865"/>
      <c r="E1" s="865"/>
      <c r="F1" s="865"/>
      <c r="G1" s="865"/>
      <c r="H1" s="865"/>
      <c r="I1" s="865"/>
    </row>
    <row r="3" spans="1:9">
      <c r="A3" s="337" t="s">
        <v>152</v>
      </c>
      <c r="B3" s="353"/>
      <c r="C3" s="354"/>
    </row>
    <row r="4" spans="1:9" ht="12.75" thickBot="1">
      <c r="A4" s="330" t="s">
        <v>151</v>
      </c>
    </row>
    <row r="5" spans="1:9" ht="14.25" thickTop="1" thickBot="1">
      <c r="A5" s="332" t="s">
        <v>802</v>
      </c>
      <c r="B5" s="199"/>
      <c r="C5" s="355" t="s">
        <v>150</v>
      </c>
      <c r="D5" s="198">
        <f>D11/C11*100</f>
        <v>6.9565217391304346</v>
      </c>
      <c r="E5" s="165"/>
    </row>
    <row r="6" spans="1:9" ht="15" customHeight="1" thickTop="1">
      <c r="A6" s="197" t="s">
        <v>134</v>
      </c>
      <c r="B6" s="356" t="s">
        <v>149</v>
      </c>
      <c r="C6" s="357" t="s">
        <v>762</v>
      </c>
      <c r="D6" s="491" t="s">
        <v>765</v>
      </c>
      <c r="E6" s="165"/>
    </row>
    <row r="7" spans="1:9" ht="15" customHeight="1">
      <c r="A7" s="358">
        <v>1</v>
      </c>
      <c r="B7" s="359" t="s">
        <v>1</v>
      </c>
      <c r="C7" s="423">
        <f>需求!I10</f>
        <v>326.25</v>
      </c>
      <c r="D7" s="492">
        <v>20</v>
      </c>
      <c r="E7" s="165"/>
    </row>
    <row r="8" spans="1:9" ht="15" customHeight="1">
      <c r="A8" s="358">
        <v>2</v>
      </c>
      <c r="B8" s="360" t="s">
        <v>4</v>
      </c>
      <c r="C8" s="423">
        <f>需求!I11</f>
        <v>326.25</v>
      </c>
      <c r="D8" s="492">
        <v>20</v>
      </c>
      <c r="E8" s="165"/>
    </row>
    <row r="9" spans="1:9" ht="15" customHeight="1">
      <c r="A9" s="358">
        <v>3</v>
      </c>
      <c r="B9" s="360" t="s">
        <v>146</v>
      </c>
      <c r="C9" s="423">
        <f>需求!I12</f>
        <v>338</v>
      </c>
      <c r="D9" s="492">
        <v>20</v>
      </c>
      <c r="E9" s="165"/>
    </row>
    <row r="10" spans="1:9" ht="15" customHeight="1">
      <c r="A10" s="358">
        <v>4</v>
      </c>
      <c r="B10" s="360" t="s">
        <v>6</v>
      </c>
      <c r="C10" s="423">
        <f>需求!I13</f>
        <v>287.5</v>
      </c>
      <c r="D10" s="492">
        <v>20</v>
      </c>
      <c r="E10" s="165"/>
    </row>
    <row r="11" spans="1:9" ht="15" customHeight="1" thickBot="1">
      <c r="A11" s="361">
        <v>5</v>
      </c>
      <c r="B11" s="362" t="s">
        <v>126</v>
      </c>
      <c r="C11" s="423">
        <f>需求!I14</f>
        <v>287.5</v>
      </c>
      <c r="D11" s="493">
        <v>20</v>
      </c>
      <c r="E11" s="165"/>
    </row>
    <row r="12" spans="1:9" ht="16.5" customHeight="1" thickTop="1">
      <c r="A12" s="332"/>
      <c r="B12" s="191"/>
      <c r="E12" s="192"/>
    </row>
    <row r="13" spans="1:9" s="195" customFormat="1" ht="29.25" customHeight="1">
      <c r="A13" s="196"/>
      <c r="C13" s="196"/>
      <c r="D13" s="196"/>
      <c r="E13" s="196"/>
    </row>
    <row r="14" spans="1:9" s="191" customFormat="1">
      <c r="A14" s="363" t="s">
        <v>145</v>
      </c>
      <c r="B14" s="364"/>
      <c r="C14" s="192"/>
      <c r="D14" s="192"/>
      <c r="E14" s="192"/>
    </row>
    <row r="15" spans="1:9">
      <c r="A15" s="194" t="s">
        <v>801</v>
      </c>
    </row>
    <row r="16" spans="1:9" ht="13.5">
      <c r="A16" s="194" t="s">
        <v>144</v>
      </c>
    </row>
    <row r="17" spans="1:8" ht="12.75" thickBot="1"/>
    <row r="18" spans="1:8" ht="15" customHeight="1" thickTop="1">
      <c r="A18" s="197" t="s">
        <v>134</v>
      </c>
      <c r="B18" s="356" t="s">
        <v>143</v>
      </c>
      <c r="C18" s="356" t="s">
        <v>142</v>
      </c>
      <c r="D18" s="365" t="s">
        <v>141</v>
      </c>
      <c r="E18" s="165"/>
    </row>
    <row r="19" spans="1:8" ht="15" customHeight="1" thickBot="1">
      <c r="A19" s="366">
        <v>1</v>
      </c>
      <c r="B19" s="189">
        <f>C11</f>
        <v>287.5</v>
      </c>
      <c r="C19" s="193">
        <f>工作量分布!N13</f>
        <v>326.29599999999999</v>
      </c>
      <c r="D19" s="663">
        <f>B19/C19</f>
        <v>0.88110182165886186</v>
      </c>
      <c r="E19" s="165"/>
    </row>
    <row r="20" spans="1:8" ht="12.75" thickTop="1"/>
    <row r="24" spans="1:8">
      <c r="A24" s="363" t="s">
        <v>140</v>
      </c>
      <c r="B24" s="364"/>
      <c r="C24" s="192"/>
      <c r="D24" s="192"/>
      <c r="E24" s="192"/>
      <c r="F24" s="191"/>
      <c r="G24" s="191"/>
      <c r="H24" s="191"/>
    </row>
    <row r="25" spans="1:8">
      <c r="A25" s="190" t="s">
        <v>139</v>
      </c>
    </row>
    <row r="26" spans="1:8">
      <c r="A26" s="190" t="s">
        <v>138</v>
      </c>
    </row>
    <row r="27" spans="1:8" ht="12.75" thickBot="1"/>
    <row r="28" spans="1:8" ht="13.5" thickTop="1">
      <c r="A28" s="197" t="s">
        <v>134</v>
      </c>
      <c r="B28" s="494" t="s">
        <v>93</v>
      </c>
      <c r="D28" s="165"/>
      <c r="E28" s="165"/>
    </row>
    <row r="29" spans="1:8" ht="15.75" customHeight="1" thickBot="1">
      <c r="A29" s="366">
        <v>1</v>
      </c>
      <c r="B29" s="495"/>
      <c r="D29" s="165"/>
      <c r="E29" s="165"/>
    </row>
    <row r="30" spans="1:8" ht="12.75" thickTop="1"/>
    <row r="33" spans="5:5">
      <c r="E33" s="165"/>
    </row>
  </sheetData>
  <mergeCells count="1">
    <mergeCell ref="A1:I1"/>
  </mergeCells>
  <phoneticPr fontId="4" type="noConversion"/>
  <pageMargins left="0.75" right="0.75" top="1" bottom="0.82" header="0.5" footer="0.5"/>
  <pageSetup paperSize="9" orientation="landscape" horizontalDpi="4294967292"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sheetPr>
  <dimension ref="A1:N45"/>
  <sheetViews>
    <sheetView workbookViewId="0">
      <selection activeCell="J6" sqref="J6"/>
    </sheetView>
  </sheetViews>
  <sheetFormatPr defaultRowHeight="12"/>
  <cols>
    <col min="1" max="1" width="10.125" style="166" customWidth="1"/>
    <col min="2" max="2" width="14.625" style="201" customWidth="1"/>
    <col min="3" max="3" width="13.25" style="201" customWidth="1"/>
    <col min="4" max="4" width="15.25" style="201" customWidth="1"/>
    <col min="5" max="5" width="16.25" style="200" customWidth="1"/>
    <col min="6" max="6" width="20.125" style="200" customWidth="1"/>
    <col min="7" max="7" width="18.125" style="200" customWidth="1"/>
    <col min="8" max="9" width="11.375" style="165" customWidth="1"/>
    <col min="10" max="10" width="12.375" style="165" bestFit="1" customWidth="1"/>
    <col min="11" max="11" width="12.75" style="165" customWidth="1"/>
    <col min="12" max="12" width="15.375" style="165" customWidth="1"/>
    <col min="13" max="256" width="9" style="165"/>
    <col min="257" max="257" width="10.125" style="165" customWidth="1"/>
    <col min="258" max="259" width="11.875" style="165" customWidth="1"/>
    <col min="260" max="260" width="11" style="165" customWidth="1"/>
    <col min="261" max="261" width="11.125" style="165" customWidth="1"/>
    <col min="262" max="262" width="18.5" style="165" customWidth="1"/>
    <col min="263" max="263" width="18.125" style="165" customWidth="1"/>
    <col min="264" max="265" width="11.375" style="165" customWidth="1"/>
    <col min="266" max="266" width="12.375" style="165" bestFit="1" customWidth="1"/>
    <col min="267" max="267" width="12.75" style="165" customWidth="1"/>
    <col min="268" max="268" width="15.375" style="165" customWidth="1"/>
    <col min="269" max="512" width="9" style="165"/>
    <col min="513" max="513" width="10.125" style="165" customWidth="1"/>
    <col min="514" max="515" width="11.875" style="165" customWidth="1"/>
    <col min="516" max="516" width="11" style="165" customWidth="1"/>
    <col min="517" max="517" width="11.125" style="165" customWidth="1"/>
    <col min="518" max="518" width="18.5" style="165" customWidth="1"/>
    <col min="519" max="519" width="18.125" style="165" customWidth="1"/>
    <col min="520" max="521" width="11.375" style="165" customWidth="1"/>
    <col min="522" max="522" width="12.375" style="165" bestFit="1" customWidth="1"/>
    <col min="523" max="523" width="12.75" style="165" customWidth="1"/>
    <col min="524" max="524" width="15.375" style="165" customWidth="1"/>
    <col min="525" max="768" width="9" style="165"/>
    <col min="769" max="769" width="10.125" style="165" customWidth="1"/>
    <col min="770" max="771" width="11.875" style="165" customWidth="1"/>
    <col min="772" max="772" width="11" style="165" customWidth="1"/>
    <col min="773" max="773" width="11.125" style="165" customWidth="1"/>
    <col min="774" max="774" width="18.5" style="165" customWidth="1"/>
    <col min="775" max="775" width="18.125" style="165" customWidth="1"/>
    <col min="776" max="777" width="11.375" style="165" customWidth="1"/>
    <col min="778" max="778" width="12.375" style="165" bestFit="1" customWidth="1"/>
    <col min="779" max="779" width="12.75" style="165" customWidth="1"/>
    <col min="780" max="780" width="15.375" style="165" customWidth="1"/>
    <col min="781" max="1024" width="9" style="165"/>
    <col min="1025" max="1025" width="10.125" style="165" customWidth="1"/>
    <col min="1026" max="1027" width="11.875" style="165" customWidth="1"/>
    <col min="1028" max="1028" width="11" style="165" customWidth="1"/>
    <col min="1029" max="1029" width="11.125" style="165" customWidth="1"/>
    <col min="1030" max="1030" width="18.5" style="165" customWidth="1"/>
    <col min="1031" max="1031" width="18.125" style="165" customWidth="1"/>
    <col min="1032" max="1033" width="11.375" style="165" customWidth="1"/>
    <col min="1034" max="1034" width="12.375" style="165" bestFit="1" customWidth="1"/>
    <col min="1035" max="1035" width="12.75" style="165" customWidth="1"/>
    <col min="1036" max="1036" width="15.375" style="165" customWidth="1"/>
    <col min="1037" max="1280" width="9" style="165"/>
    <col min="1281" max="1281" width="10.125" style="165" customWidth="1"/>
    <col min="1282" max="1283" width="11.875" style="165" customWidth="1"/>
    <col min="1284" max="1284" width="11" style="165" customWidth="1"/>
    <col min="1285" max="1285" width="11.125" style="165" customWidth="1"/>
    <col min="1286" max="1286" width="18.5" style="165" customWidth="1"/>
    <col min="1287" max="1287" width="18.125" style="165" customWidth="1"/>
    <col min="1288" max="1289" width="11.375" style="165" customWidth="1"/>
    <col min="1290" max="1290" width="12.375" style="165" bestFit="1" customWidth="1"/>
    <col min="1291" max="1291" width="12.75" style="165" customWidth="1"/>
    <col min="1292" max="1292" width="15.375" style="165" customWidth="1"/>
    <col min="1293" max="1536" width="9" style="165"/>
    <col min="1537" max="1537" width="10.125" style="165" customWidth="1"/>
    <col min="1538" max="1539" width="11.875" style="165" customWidth="1"/>
    <col min="1540" max="1540" width="11" style="165" customWidth="1"/>
    <col min="1541" max="1541" width="11.125" style="165" customWidth="1"/>
    <col min="1542" max="1542" width="18.5" style="165" customWidth="1"/>
    <col min="1543" max="1543" width="18.125" style="165" customWidth="1"/>
    <col min="1544" max="1545" width="11.375" style="165" customWidth="1"/>
    <col min="1546" max="1546" width="12.375" style="165" bestFit="1" customWidth="1"/>
    <col min="1547" max="1547" width="12.75" style="165" customWidth="1"/>
    <col min="1548" max="1548" width="15.375" style="165" customWidth="1"/>
    <col min="1549" max="1792" width="9" style="165"/>
    <col min="1793" max="1793" width="10.125" style="165" customWidth="1"/>
    <col min="1794" max="1795" width="11.875" style="165" customWidth="1"/>
    <col min="1796" max="1796" width="11" style="165" customWidth="1"/>
    <col min="1797" max="1797" width="11.125" style="165" customWidth="1"/>
    <col min="1798" max="1798" width="18.5" style="165" customWidth="1"/>
    <col min="1799" max="1799" width="18.125" style="165" customWidth="1"/>
    <col min="1800" max="1801" width="11.375" style="165" customWidth="1"/>
    <col min="1802" max="1802" width="12.375" style="165" bestFit="1" customWidth="1"/>
    <col min="1803" max="1803" width="12.75" style="165" customWidth="1"/>
    <col min="1804" max="1804" width="15.375" style="165" customWidth="1"/>
    <col min="1805" max="2048" width="9" style="165"/>
    <col min="2049" max="2049" width="10.125" style="165" customWidth="1"/>
    <col min="2050" max="2051" width="11.875" style="165" customWidth="1"/>
    <col min="2052" max="2052" width="11" style="165" customWidth="1"/>
    <col min="2053" max="2053" width="11.125" style="165" customWidth="1"/>
    <col min="2054" max="2054" width="18.5" style="165" customWidth="1"/>
    <col min="2055" max="2055" width="18.125" style="165" customWidth="1"/>
    <col min="2056" max="2057" width="11.375" style="165" customWidth="1"/>
    <col min="2058" max="2058" width="12.375" style="165" bestFit="1" customWidth="1"/>
    <col min="2059" max="2059" width="12.75" style="165" customWidth="1"/>
    <col min="2060" max="2060" width="15.375" style="165" customWidth="1"/>
    <col min="2061" max="2304" width="9" style="165"/>
    <col min="2305" max="2305" width="10.125" style="165" customWidth="1"/>
    <col min="2306" max="2307" width="11.875" style="165" customWidth="1"/>
    <col min="2308" max="2308" width="11" style="165" customWidth="1"/>
    <col min="2309" max="2309" width="11.125" style="165" customWidth="1"/>
    <col min="2310" max="2310" width="18.5" style="165" customWidth="1"/>
    <col min="2311" max="2311" width="18.125" style="165" customWidth="1"/>
    <col min="2312" max="2313" width="11.375" style="165" customWidth="1"/>
    <col min="2314" max="2314" width="12.375" style="165" bestFit="1" customWidth="1"/>
    <col min="2315" max="2315" width="12.75" style="165" customWidth="1"/>
    <col min="2316" max="2316" width="15.375" style="165" customWidth="1"/>
    <col min="2317" max="2560" width="9" style="165"/>
    <col min="2561" max="2561" width="10.125" style="165" customWidth="1"/>
    <col min="2562" max="2563" width="11.875" style="165" customWidth="1"/>
    <col min="2564" max="2564" width="11" style="165" customWidth="1"/>
    <col min="2565" max="2565" width="11.125" style="165" customWidth="1"/>
    <col min="2566" max="2566" width="18.5" style="165" customWidth="1"/>
    <col min="2567" max="2567" width="18.125" style="165" customWidth="1"/>
    <col min="2568" max="2569" width="11.375" style="165" customWidth="1"/>
    <col min="2570" max="2570" width="12.375" style="165" bestFit="1" customWidth="1"/>
    <col min="2571" max="2571" width="12.75" style="165" customWidth="1"/>
    <col min="2572" max="2572" width="15.375" style="165" customWidth="1"/>
    <col min="2573" max="2816" width="9" style="165"/>
    <col min="2817" max="2817" width="10.125" style="165" customWidth="1"/>
    <col min="2818" max="2819" width="11.875" style="165" customWidth="1"/>
    <col min="2820" max="2820" width="11" style="165" customWidth="1"/>
    <col min="2821" max="2821" width="11.125" style="165" customWidth="1"/>
    <col min="2822" max="2822" width="18.5" style="165" customWidth="1"/>
    <col min="2823" max="2823" width="18.125" style="165" customWidth="1"/>
    <col min="2824" max="2825" width="11.375" style="165" customWidth="1"/>
    <col min="2826" max="2826" width="12.375" style="165" bestFit="1" customWidth="1"/>
    <col min="2827" max="2827" width="12.75" style="165" customWidth="1"/>
    <col min="2828" max="2828" width="15.375" style="165" customWidth="1"/>
    <col min="2829" max="3072" width="9" style="165"/>
    <col min="3073" max="3073" width="10.125" style="165" customWidth="1"/>
    <col min="3074" max="3075" width="11.875" style="165" customWidth="1"/>
    <col min="3076" max="3076" width="11" style="165" customWidth="1"/>
    <col min="3077" max="3077" width="11.125" style="165" customWidth="1"/>
    <col min="3078" max="3078" width="18.5" style="165" customWidth="1"/>
    <col min="3079" max="3079" width="18.125" style="165" customWidth="1"/>
    <col min="3080" max="3081" width="11.375" style="165" customWidth="1"/>
    <col min="3082" max="3082" width="12.375" style="165" bestFit="1" customWidth="1"/>
    <col min="3083" max="3083" width="12.75" style="165" customWidth="1"/>
    <col min="3084" max="3084" width="15.375" style="165" customWidth="1"/>
    <col min="3085" max="3328" width="9" style="165"/>
    <col min="3329" max="3329" width="10.125" style="165" customWidth="1"/>
    <col min="3330" max="3331" width="11.875" style="165" customWidth="1"/>
    <col min="3332" max="3332" width="11" style="165" customWidth="1"/>
    <col min="3333" max="3333" width="11.125" style="165" customWidth="1"/>
    <col min="3334" max="3334" width="18.5" style="165" customWidth="1"/>
    <col min="3335" max="3335" width="18.125" style="165" customWidth="1"/>
    <col min="3336" max="3337" width="11.375" style="165" customWidth="1"/>
    <col min="3338" max="3338" width="12.375" style="165" bestFit="1" customWidth="1"/>
    <col min="3339" max="3339" width="12.75" style="165" customWidth="1"/>
    <col min="3340" max="3340" width="15.375" style="165" customWidth="1"/>
    <col min="3341" max="3584" width="9" style="165"/>
    <col min="3585" max="3585" width="10.125" style="165" customWidth="1"/>
    <col min="3586" max="3587" width="11.875" style="165" customWidth="1"/>
    <col min="3588" max="3588" width="11" style="165" customWidth="1"/>
    <col min="3589" max="3589" width="11.125" style="165" customWidth="1"/>
    <col min="3590" max="3590" width="18.5" style="165" customWidth="1"/>
    <col min="3591" max="3591" width="18.125" style="165" customWidth="1"/>
    <col min="3592" max="3593" width="11.375" style="165" customWidth="1"/>
    <col min="3594" max="3594" width="12.375" style="165" bestFit="1" customWidth="1"/>
    <col min="3595" max="3595" width="12.75" style="165" customWidth="1"/>
    <col min="3596" max="3596" width="15.375" style="165" customWidth="1"/>
    <col min="3597" max="3840" width="9" style="165"/>
    <col min="3841" max="3841" width="10.125" style="165" customWidth="1"/>
    <col min="3842" max="3843" width="11.875" style="165" customWidth="1"/>
    <col min="3844" max="3844" width="11" style="165" customWidth="1"/>
    <col min="3845" max="3845" width="11.125" style="165" customWidth="1"/>
    <col min="3846" max="3846" width="18.5" style="165" customWidth="1"/>
    <col min="3847" max="3847" width="18.125" style="165" customWidth="1"/>
    <col min="3848" max="3849" width="11.375" style="165" customWidth="1"/>
    <col min="3850" max="3850" width="12.375" style="165" bestFit="1" customWidth="1"/>
    <col min="3851" max="3851" width="12.75" style="165" customWidth="1"/>
    <col min="3852" max="3852" width="15.375" style="165" customWidth="1"/>
    <col min="3853" max="4096" width="9" style="165"/>
    <col min="4097" max="4097" width="10.125" style="165" customWidth="1"/>
    <col min="4098" max="4099" width="11.875" style="165" customWidth="1"/>
    <col min="4100" max="4100" width="11" style="165" customWidth="1"/>
    <col min="4101" max="4101" width="11.125" style="165" customWidth="1"/>
    <col min="4102" max="4102" width="18.5" style="165" customWidth="1"/>
    <col min="4103" max="4103" width="18.125" style="165" customWidth="1"/>
    <col min="4104" max="4105" width="11.375" style="165" customWidth="1"/>
    <col min="4106" max="4106" width="12.375" style="165" bestFit="1" customWidth="1"/>
    <col min="4107" max="4107" width="12.75" style="165" customWidth="1"/>
    <col min="4108" max="4108" width="15.375" style="165" customWidth="1"/>
    <col min="4109" max="4352" width="9" style="165"/>
    <col min="4353" max="4353" width="10.125" style="165" customWidth="1"/>
    <col min="4354" max="4355" width="11.875" style="165" customWidth="1"/>
    <col min="4356" max="4356" width="11" style="165" customWidth="1"/>
    <col min="4357" max="4357" width="11.125" style="165" customWidth="1"/>
    <col min="4358" max="4358" width="18.5" style="165" customWidth="1"/>
    <col min="4359" max="4359" width="18.125" style="165" customWidth="1"/>
    <col min="4360" max="4361" width="11.375" style="165" customWidth="1"/>
    <col min="4362" max="4362" width="12.375" style="165" bestFit="1" customWidth="1"/>
    <col min="4363" max="4363" width="12.75" style="165" customWidth="1"/>
    <col min="4364" max="4364" width="15.375" style="165" customWidth="1"/>
    <col min="4365" max="4608" width="9" style="165"/>
    <col min="4609" max="4609" width="10.125" style="165" customWidth="1"/>
    <col min="4610" max="4611" width="11.875" style="165" customWidth="1"/>
    <col min="4612" max="4612" width="11" style="165" customWidth="1"/>
    <col min="4613" max="4613" width="11.125" style="165" customWidth="1"/>
    <col min="4614" max="4614" width="18.5" style="165" customWidth="1"/>
    <col min="4615" max="4615" width="18.125" style="165" customWidth="1"/>
    <col min="4616" max="4617" width="11.375" style="165" customWidth="1"/>
    <col min="4618" max="4618" width="12.375" style="165" bestFit="1" customWidth="1"/>
    <col min="4619" max="4619" width="12.75" style="165" customWidth="1"/>
    <col min="4620" max="4620" width="15.375" style="165" customWidth="1"/>
    <col min="4621" max="4864" width="9" style="165"/>
    <col min="4865" max="4865" width="10.125" style="165" customWidth="1"/>
    <col min="4866" max="4867" width="11.875" style="165" customWidth="1"/>
    <col min="4868" max="4868" width="11" style="165" customWidth="1"/>
    <col min="4869" max="4869" width="11.125" style="165" customWidth="1"/>
    <col min="4870" max="4870" width="18.5" style="165" customWidth="1"/>
    <col min="4871" max="4871" width="18.125" style="165" customWidth="1"/>
    <col min="4872" max="4873" width="11.375" style="165" customWidth="1"/>
    <col min="4874" max="4874" width="12.375" style="165" bestFit="1" customWidth="1"/>
    <col min="4875" max="4875" width="12.75" style="165" customWidth="1"/>
    <col min="4876" max="4876" width="15.375" style="165" customWidth="1"/>
    <col min="4877" max="5120" width="9" style="165"/>
    <col min="5121" max="5121" width="10.125" style="165" customWidth="1"/>
    <col min="5122" max="5123" width="11.875" style="165" customWidth="1"/>
    <col min="5124" max="5124" width="11" style="165" customWidth="1"/>
    <col min="5125" max="5125" width="11.125" style="165" customWidth="1"/>
    <col min="5126" max="5126" width="18.5" style="165" customWidth="1"/>
    <col min="5127" max="5127" width="18.125" style="165" customWidth="1"/>
    <col min="5128" max="5129" width="11.375" style="165" customWidth="1"/>
    <col min="5130" max="5130" width="12.375" style="165" bestFit="1" customWidth="1"/>
    <col min="5131" max="5131" width="12.75" style="165" customWidth="1"/>
    <col min="5132" max="5132" width="15.375" style="165" customWidth="1"/>
    <col min="5133" max="5376" width="9" style="165"/>
    <col min="5377" max="5377" width="10.125" style="165" customWidth="1"/>
    <col min="5378" max="5379" width="11.875" style="165" customWidth="1"/>
    <col min="5380" max="5380" width="11" style="165" customWidth="1"/>
    <col min="5381" max="5381" width="11.125" style="165" customWidth="1"/>
    <col min="5382" max="5382" width="18.5" style="165" customWidth="1"/>
    <col min="5383" max="5383" width="18.125" style="165" customWidth="1"/>
    <col min="5384" max="5385" width="11.375" style="165" customWidth="1"/>
    <col min="5386" max="5386" width="12.375" style="165" bestFit="1" customWidth="1"/>
    <col min="5387" max="5387" width="12.75" style="165" customWidth="1"/>
    <col min="5388" max="5388" width="15.375" style="165" customWidth="1"/>
    <col min="5389" max="5632" width="9" style="165"/>
    <col min="5633" max="5633" width="10.125" style="165" customWidth="1"/>
    <col min="5634" max="5635" width="11.875" style="165" customWidth="1"/>
    <col min="5636" max="5636" width="11" style="165" customWidth="1"/>
    <col min="5637" max="5637" width="11.125" style="165" customWidth="1"/>
    <col min="5638" max="5638" width="18.5" style="165" customWidth="1"/>
    <col min="5639" max="5639" width="18.125" style="165" customWidth="1"/>
    <col min="5640" max="5641" width="11.375" style="165" customWidth="1"/>
    <col min="5642" max="5642" width="12.375" style="165" bestFit="1" customWidth="1"/>
    <col min="5643" max="5643" width="12.75" style="165" customWidth="1"/>
    <col min="5644" max="5644" width="15.375" style="165" customWidth="1"/>
    <col min="5645" max="5888" width="9" style="165"/>
    <col min="5889" max="5889" width="10.125" style="165" customWidth="1"/>
    <col min="5890" max="5891" width="11.875" style="165" customWidth="1"/>
    <col min="5892" max="5892" width="11" style="165" customWidth="1"/>
    <col min="5893" max="5893" width="11.125" style="165" customWidth="1"/>
    <col min="5894" max="5894" width="18.5" style="165" customWidth="1"/>
    <col min="5895" max="5895" width="18.125" style="165" customWidth="1"/>
    <col min="5896" max="5897" width="11.375" style="165" customWidth="1"/>
    <col min="5898" max="5898" width="12.375" style="165" bestFit="1" customWidth="1"/>
    <col min="5899" max="5899" width="12.75" style="165" customWidth="1"/>
    <col min="5900" max="5900" width="15.375" style="165" customWidth="1"/>
    <col min="5901" max="6144" width="9" style="165"/>
    <col min="6145" max="6145" width="10.125" style="165" customWidth="1"/>
    <col min="6146" max="6147" width="11.875" style="165" customWidth="1"/>
    <col min="6148" max="6148" width="11" style="165" customWidth="1"/>
    <col min="6149" max="6149" width="11.125" style="165" customWidth="1"/>
    <col min="6150" max="6150" width="18.5" style="165" customWidth="1"/>
    <col min="6151" max="6151" width="18.125" style="165" customWidth="1"/>
    <col min="6152" max="6153" width="11.375" style="165" customWidth="1"/>
    <col min="6154" max="6154" width="12.375" style="165" bestFit="1" customWidth="1"/>
    <col min="6155" max="6155" width="12.75" style="165" customWidth="1"/>
    <col min="6156" max="6156" width="15.375" style="165" customWidth="1"/>
    <col min="6157" max="6400" width="9" style="165"/>
    <col min="6401" max="6401" width="10.125" style="165" customWidth="1"/>
    <col min="6402" max="6403" width="11.875" style="165" customWidth="1"/>
    <col min="6404" max="6404" width="11" style="165" customWidth="1"/>
    <col min="6405" max="6405" width="11.125" style="165" customWidth="1"/>
    <col min="6406" max="6406" width="18.5" style="165" customWidth="1"/>
    <col min="6407" max="6407" width="18.125" style="165" customWidth="1"/>
    <col min="6408" max="6409" width="11.375" style="165" customWidth="1"/>
    <col min="6410" max="6410" width="12.375" style="165" bestFit="1" customWidth="1"/>
    <col min="6411" max="6411" width="12.75" style="165" customWidth="1"/>
    <col min="6412" max="6412" width="15.375" style="165" customWidth="1"/>
    <col min="6413" max="6656" width="9" style="165"/>
    <col min="6657" max="6657" width="10.125" style="165" customWidth="1"/>
    <col min="6658" max="6659" width="11.875" style="165" customWidth="1"/>
    <col min="6660" max="6660" width="11" style="165" customWidth="1"/>
    <col min="6661" max="6661" width="11.125" style="165" customWidth="1"/>
    <col min="6662" max="6662" width="18.5" style="165" customWidth="1"/>
    <col min="6663" max="6663" width="18.125" style="165" customWidth="1"/>
    <col min="6664" max="6665" width="11.375" style="165" customWidth="1"/>
    <col min="6666" max="6666" width="12.375" style="165" bestFit="1" customWidth="1"/>
    <col min="6667" max="6667" width="12.75" style="165" customWidth="1"/>
    <col min="6668" max="6668" width="15.375" style="165" customWidth="1"/>
    <col min="6669" max="6912" width="9" style="165"/>
    <col min="6913" max="6913" width="10.125" style="165" customWidth="1"/>
    <col min="6914" max="6915" width="11.875" style="165" customWidth="1"/>
    <col min="6916" max="6916" width="11" style="165" customWidth="1"/>
    <col min="6917" max="6917" width="11.125" style="165" customWidth="1"/>
    <col min="6918" max="6918" width="18.5" style="165" customWidth="1"/>
    <col min="6919" max="6919" width="18.125" style="165" customWidth="1"/>
    <col min="6920" max="6921" width="11.375" style="165" customWidth="1"/>
    <col min="6922" max="6922" width="12.375" style="165" bestFit="1" customWidth="1"/>
    <col min="6923" max="6923" width="12.75" style="165" customWidth="1"/>
    <col min="6924" max="6924" width="15.375" style="165" customWidth="1"/>
    <col min="6925" max="7168" width="9" style="165"/>
    <col min="7169" max="7169" width="10.125" style="165" customWidth="1"/>
    <col min="7170" max="7171" width="11.875" style="165" customWidth="1"/>
    <col min="7172" max="7172" width="11" style="165" customWidth="1"/>
    <col min="7173" max="7173" width="11.125" style="165" customWidth="1"/>
    <col min="7174" max="7174" width="18.5" style="165" customWidth="1"/>
    <col min="7175" max="7175" width="18.125" style="165" customWidth="1"/>
    <col min="7176" max="7177" width="11.375" style="165" customWidth="1"/>
    <col min="7178" max="7178" width="12.375" style="165" bestFit="1" customWidth="1"/>
    <col min="7179" max="7179" width="12.75" style="165" customWidth="1"/>
    <col min="7180" max="7180" width="15.375" style="165" customWidth="1"/>
    <col min="7181" max="7424" width="9" style="165"/>
    <col min="7425" max="7425" width="10.125" style="165" customWidth="1"/>
    <col min="7426" max="7427" width="11.875" style="165" customWidth="1"/>
    <col min="7428" max="7428" width="11" style="165" customWidth="1"/>
    <col min="7429" max="7429" width="11.125" style="165" customWidth="1"/>
    <col min="7430" max="7430" width="18.5" style="165" customWidth="1"/>
    <col min="7431" max="7431" width="18.125" style="165" customWidth="1"/>
    <col min="7432" max="7433" width="11.375" style="165" customWidth="1"/>
    <col min="7434" max="7434" width="12.375" style="165" bestFit="1" customWidth="1"/>
    <col min="7435" max="7435" width="12.75" style="165" customWidth="1"/>
    <col min="7436" max="7436" width="15.375" style="165" customWidth="1"/>
    <col min="7437" max="7680" width="9" style="165"/>
    <col min="7681" max="7681" width="10.125" style="165" customWidth="1"/>
    <col min="7682" max="7683" width="11.875" style="165" customWidth="1"/>
    <col min="7684" max="7684" width="11" style="165" customWidth="1"/>
    <col min="7685" max="7685" width="11.125" style="165" customWidth="1"/>
    <col min="7686" max="7686" width="18.5" style="165" customWidth="1"/>
    <col min="7687" max="7687" width="18.125" style="165" customWidth="1"/>
    <col min="7688" max="7689" width="11.375" style="165" customWidth="1"/>
    <col min="7690" max="7690" width="12.375" style="165" bestFit="1" customWidth="1"/>
    <col min="7691" max="7691" width="12.75" style="165" customWidth="1"/>
    <col min="7692" max="7692" width="15.375" style="165" customWidth="1"/>
    <col min="7693" max="7936" width="9" style="165"/>
    <col min="7937" max="7937" width="10.125" style="165" customWidth="1"/>
    <col min="7938" max="7939" width="11.875" style="165" customWidth="1"/>
    <col min="7940" max="7940" width="11" style="165" customWidth="1"/>
    <col min="7941" max="7941" width="11.125" style="165" customWidth="1"/>
    <col min="7942" max="7942" width="18.5" style="165" customWidth="1"/>
    <col min="7943" max="7943" width="18.125" style="165" customWidth="1"/>
    <col min="7944" max="7945" width="11.375" style="165" customWidth="1"/>
    <col min="7946" max="7946" width="12.375" style="165" bestFit="1" customWidth="1"/>
    <col min="7947" max="7947" width="12.75" style="165" customWidth="1"/>
    <col min="7948" max="7948" width="15.375" style="165" customWidth="1"/>
    <col min="7949" max="8192" width="9" style="165"/>
    <col min="8193" max="8193" width="10.125" style="165" customWidth="1"/>
    <col min="8194" max="8195" width="11.875" style="165" customWidth="1"/>
    <col min="8196" max="8196" width="11" style="165" customWidth="1"/>
    <col min="8197" max="8197" width="11.125" style="165" customWidth="1"/>
    <col min="8198" max="8198" width="18.5" style="165" customWidth="1"/>
    <col min="8199" max="8199" width="18.125" style="165" customWidth="1"/>
    <col min="8200" max="8201" width="11.375" style="165" customWidth="1"/>
    <col min="8202" max="8202" width="12.375" style="165" bestFit="1" customWidth="1"/>
    <col min="8203" max="8203" width="12.75" style="165" customWidth="1"/>
    <col min="8204" max="8204" width="15.375" style="165" customWidth="1"/>
    <col min="8205" max="8448" width="9" style="165"/>
    <col min="8449" max="8449" width="10.125" style="165" customWidth="1"/>
    <col min="8450" max="8451" width="11.875" style="165" customWidth="1"/>
    <col min="8452" max="8452" width="11" style="165" customWidth="1"/>
    <col min="8453" max="8453" width="11.125" style="165" customWidth="1"/>
    <col min="8454" max="8454" width="18.5" style="165" customWidth="1"/>
    <col min="8455" max="8455" width="18.125" style="165" customWidth="1"/>
    <col min="8456" max="8457" width="11.375" style="165" customWidth="1"/>
    <col min="8458" max="8458" width="12.375" style="165" bestFit="1" customWidth="1"/>
    <col min="8459" max="8459" width="12.75" style="165" customWidth="1"/>
    <col min="8460" max="8460" width="15.375" style="165" customWidth="1"/>
    <col min="8461" max="8704" width="9" style="165"/>
    <col min="8705" max="8705" width="10.125" style="165" customWidth="1"/>
    <col min="8706" max="8707" width="11.875" style="165" customWidth="1"/>
    <col min="8708" max="8708" width="11" style="165" customWidth="1"/>
    <col min="8709" max="8709" width="11.125" style="165" customWidth="1"/>
    <col min="8710" max="8710" width="18.5" style="165" customWidth="1"/>
    <col min="8711" max="8711" width="18.125" style="165" customWidth="1"/>
    <col min="8712" max="8713" width="11.375" style="165" customWidth="1"/>
    <col min="8714" max="8714" width="12.375" style="165" bestFit="1" customWidth="1"/>
    <col min="8715" max="8715" width="12.75" style="165" customWidth="1"/>
    <col min="8716" max="8716" width="15.375" style="165" customWidth="1"/>
    <col min="8717" max="8960" width="9" style="165"/>
    <col min="8961" max="8961" width="10.125" style="165" customWidth="1"/>
    <col min="8962" max="8963" width="11.875" style="165" customWidth="1"/>
    <col min="8964" max="8964" width="11" style="165" customWidth="1"/>
    <col min="8965" max="8965" width="11.125" style="165" customWidth="1"/>
    <col min="8966" max="8966" width="18.5" style="165" customWidth="1"/>
    <col min="8967" max="8967" width="18.125" style="165" customWidth="1"/>
    <col min="8968" max="8969" width="11.375" style="165" customWidth="1"/>
    <col min="8970" max="8970" width="12.375" style="165" bestFit="1" customWidth="1"/>
    <col min="8971" max="8971" width="12.75" style="165" customWidth="1"/>
    <col min="8972" max="8972" width="15.375" style="165" customWidth="1"/>
    <col min="8973" max="9216" width="9" style="165"/>
    <col min="9217" max="9217" width="10.125" style="165" customWidth="1"/>
    <col min="9218" max="9219" width="11.875" style="165" customWidth="1"/>
    <col min="9220" max="9220" width="11" style="165" customWidth="1"/>
    <col min="9221" max="9221" width="11.125" style="165" customWidth="1"/>
    <col min="9222" max="9222" width="18.5" style="165" customWidth="1"/>
    <col min="9223" max="9223" width="18.125" style="165" customWidth="1"/>
    <col min="9224" max="9225" width="11.375" style="165" customWidth="1"/>
    <col min="9226" max="9226" width="12.375" style="165" bestFit="1" customWidth="1"/>
    <col min="9227" max="9227" width="12.75" style="165" customWidth="1"/>
    <col min="9228" max="9228" width="15.375" style="165" customWidth="1"/>
    <col min="9229" max="9472" width="9" style="165"/>
    <col min="9473" max="9473" width="10.125" style="165" customWidth="1"/>
    <col min="9474" max="9475" width="11.875" style="165" customWidth="1"/>
    <col min="9476" max="9476" width="11" style="165" customWidth="1"/>
    <col min="9477" max="9477" width="11.125" style="165" customWidth="1"/>
    <col min="9478" max="9478" width="18.5" style="165" customWidth="1"/>
    <col min="9479" max="9479" width="18.125" style="165" customWidth="1"/>
    <col min="9480" max="9481" width="11.375" style="165" customWidth="1"/>
    <col min="9482" max="9482" width="12.375" style="165" bestFit="1" customWidth="1"/>
    <col min="9483" max="9483" width="12.75" style="165" customWidth="1"/>
    <col min="9484" max="9484" width="15.375" style="165" customWidth="1"/>
    <col min="9485" max="9728" width="9" style="165"/>
    <col min="9729" max="9729" width="10.125" style="165" customWidth="1"/>
    <col min="9730" max="9731" width="11.875" style="165" customWidth="1"/>
    <col min="9732" max="9732" width="11" style="165" customWidth="1"/>
    <col min="9733" max="9733" width="11.125" style="165" customWidth="1"/>
    <col min="9734" max="9734" width="18.5" style="165" customWidth="1"/>
    <col min="9735" max="9735" width="18.125" style="165" customWidth="1"/>
    <col min="9736" max="9737" width="11.375" style="165" customWidth="1"/>
    <col min="9738" max="9738" width="12.375" style="165" bestFit="1" customWidth="1"/>
    <col min="9739" max="9739" width="12.75" style="165" customWidth="1"/>
    <col min="9740" max="9740" width="15.375" style="165" customWidth="1"/>
    <col min="9741" max="9984" width="9" style="165"/>
    <col min="9985" max="9985" width="10.125" style="165" customWidth="1"/>
    <col min="9986" max="9987" width="11.875" style="165" customWidth="1"/>
    <col min="9988" max="9988" width="11" style="165" customWidth="1"/>
    <col min="9989" max="9989" width="11.125" style="165" customWidth="1"/>
    <col min="9990" max="9990" width="18.5" style="165" customWidth="1"/>
    <col min="9991" max="9991" width="18.125" style="165" customWidth="1"/>
    <col min="9992" max="9993" width="11.375" style="165" customWidth="1"/>
    <col min="9994" max="9994" width="12.375" style="165" bestFit="1" customWidth="1"/>
    <col min="9995" max="9995" width="12.75" style="165" customWidth="1"/>
    <col min="9996" max="9996" width="15.375" style="165" customWidth="1"/>
    <col min="9997" max="10240" width="9" style="165"/>
    <col min="10241" max="10241" width="10.125" style="165" customWidth="1"/>
    <col min="10242" max="10243" width="11.875" style="165" customWidth="1"/>
    <col min="10244" max="10244" width="11" style="165" customWidth="1"/>
    <col min="10245" max="10245" width="11.125" style="165" customWidth="1"/>
    <col min="10246" max="10246" width="18.5" style="165" customWidth="1"/>
    <col min="10247" max="10247" width="18.125" style="165" customWidth="1"/>
    <col min="10248" max="10249" width="11.375" style="165" customWidth="1"/>
    <col min="10250" max="10250" width="12.375" style="165" bestFit="1" customWidth="1"/>
    <col min="10251" max="10251" width="12.75" style="165" customWidth="1"/>
    <col min="10252" max="10252" width="15.375" style="165" customWidth="1"/>
    <col min="10253" max="10496" width="9" style="165"/>
    <col min="10497" max="10497" width="10.125" style="165" customWidth="1"/>
    <col min="10498" max="10499" width="11.875" style="165" customWidth="1"/>
    <col min="10500" max="10500" width="11" style="165" customWidth="1"/>
    <col min="10501" max="10501" width="11.125" style="165" customWidth="1"/>
    <col min="10502" max="10502" width="18.5" style="165" customWidth="1"/>
    <col min="10503" max="10503" width="18.125" style="165" customWidth="1"/>
    <col min="10504" max="10505" width="11.375" style="165" customWidth="1"/>
    <col min="10506" max="10506" width="12.375" style="165" bestFit="1" customWidth="1"/>
    <col min="10507" max="10507" width="12.75" style="165" customWidth="1"/>
    <col min="10508" max="10508" width="15.375" style="165" customWidth="1"/>
    <col min="10509" max="10752" width="9" style="165"/>
    <col min="10753" max="10753" width="10.125" style="165" customWidth="1"/>
    <col min="10754" max="10755" width="11.875" style="165" customWidth="1"/>
    <col min="10756" max="10756" width="11" style="165" customWidth="1"/>
    <col min="10757" max="10757" width="11.125" style="165" customWidth="1"/>
    <col min="10758" max="10758" width="18.5" style="165" customWidth="1"/>
    <col min="10759" max="10759" width="18.125" style="165" customWidth="1"/>
    <col min="10760" max="10761" width="11.375" style="165" customWidth="1"/>
    <col min="10762" max="10762" width="12.375" style="165" bestFit="1" customWidth="1"/>
    <col min="10763" max="10763" width="12.75" style="165" customWidth="1"/>
    <col min="10764" max="10764" width="15.375" style="165" customWidth="1"/>
    <col min="10765" max="11008" width="9" style="165"/>
    <col min="11009" max="11009" width="10.125" style="165" customWidth="1"/>
    <col min="11010" max="11011" width="11.875" style="165" customWidth="1"/>
    <col min="11012" max="11012" width="11" style="165" customWidth="1"/>
    <col min="11013" max="11013" width="11.125" style="165" customWidth="1"/>
    <col min="11014" max="11014" width="18.5" style="165" customWidth="1"/>
    <col min="11015" max="11015" width="18.125" style="165" customWidth="1"/>
    <col min="11016" max="11017" width="11.375" style="165" customWidth="1"/>
    <col min="11018" max="11018" width="12.375" style="165" bestFit="1" customWidth="1"/>
    <col min="11019" max="11019" width="12.75" style="165" customWidth="1"/>
    <col min="11020" max="11020" width="15.375" style="165" customWidth="1"/>
    <col min="11021" max="11264" width="9" style="165"/>
    <col min="11265" max="11265" width="10.125" style="165" customWidth="1"/>
    <col min="11266" max="11267" width="11.875" style="165" customWidth="1"/>
    <col min="11268" max="11268" width="11" style="165" customWidth="1"/>
    <col min="11269" max="11269" width="11.125" style="165" customWidth="1"/>
    <col min="11270" max="11270" width="18.5" style="165" customWidth="1"/>
    <col min="11271" max="11271" width="18.125" style="165" customWidth="1"/>
    <col min="11272" max="11273" width="11.375" style="165" customWidth="1"/>
    <col min="11274" max="11274" width="12.375" style="165" bestFit="1" customWidth="1"/>
    <col min="11275" max="11275" width="12.75" style="165" customWidth="1"/>
    <col min="11276" max="11276" width="15.375" style="165" customWidth="1"/>
    <col min="11277" max="11520" width="9" style="165"/>
    <col min="11521" max="11521" width="10.125" style="165" customWidth="1"/>
    <col min="11522" max="11523" width="11.875" style="165" customWidth="1"/>
    <col min="11524" max="11524" width="11" style="165" customWidth="1"/>
    <col min="11525" max="11525" width="11.125" style="165" customWidth="1"/>
    <col min="11526" max="11526" width="18.5" style="165" customWidth="1"/>
    <col min="11527" max="11527" width="18.125" style="165" customWidth="1"/>
    <col min="11528" max="11529" width="11.375" style="165" customWidth="1"/>
    <col min="11530" max="11530" width="12.375" style="165" bestFit="1" customWidth="1"/>
    <col min="11531" max="11531" width="12.75" style="165" customWidth="1"/>
    <col min="11532" max="11532" width="15.375" style="165" customWidth="1"/>
    <col min="11533" max="11776" width="9" style="165"/>
    <col min="11777" max="11777" width="10.125" style="165" customWidth="1"/>
    <col min="11778" max="11779" width="11.875" style="165" customWidth="1"/>
    <col min="11780" max="11780" width="11" style="165" customWidth="1"/>
    <col min="11781" max="11781" width="11.125" style="165" customWidth="1"/>
    <col min="11782" max="11782" width="18.5" style="165" customWidth="1"/>
    <col min="11783" max="11783" width="18.125" style="165" customWidth="1"/>
    <col min="11784" max="11785" width="11.375" style="165" customWidth="1"/>
    <col min="11786" max="11786" width="12.375" style="165" bestFit="1" customWidth="1"/>
    <col min="11787" max="11787" width="12.75" style="165" customWidth="1"/>
    <col min="11788" max="11788" width="15.375" style="165" customWidth="1"/>
    <col min="11789" max="12032" width="9" style="165"/>
    <col min="12033" max="12033" width="10.125" style="165" customWidth="1"/>
    <col min="12034" max="12035" width="11.875" style="165" customWidth="1"/>
    <col min="12036" max="12036" width="11" style="165" customWidth="1"/>
    <col min="12037" max="12037" width="11.125" style="165" customWidth="1"/>
    <col min="12038" max="12038" width="18.5" style="165" customWidth="1"/>
    <col min="12039" max="12039" width="18.125" style="165" customWidth="1"/>
    <col min="12040" max="12041" width="11.375" style="165" customWidth="1"/>
    <col min="12042" max="12042" width="12.375" style="165" bestFit="1" customWidth="1"/>
    <col min="12043" max="12043" width="12.75" style="165" customWidth="1"/>
    <col min="12044" max="12044" width="15.375" style="165" customWidth="1"/>
    <col min="12045" max="12288" width="9" style="165"/>
    <col min="12289" max="12289" width="10.125" style="165" customWidth="1"/>
    <col min="12290" max="12291" width="11.875" style="165" customWidth="1"/>
    <col min="12292" max="12292" width="11" style="165" customWidth="1"/>
    <col min="12293" max="12293" width="11.125" style="165" customWidth="1"/>
    <col min="12294" max="12294" width="18.5" style="165" customWidth="1"/>
    <col min="12295" max="12295" width="18.125" style="165" customWidth="1"/>
    <col min="12296" max="12297" width="11.375" style="165" customWidth="1"/>
    <col min="12298" max="12298" width="12.375" style="165" bestFit="1" customWidth="1"/>
    <col min="12299" max="12299" width="12.75" style="165" customWidth="1"/>
    <col min="12300" max="12300" width="15.375" style="165" customWidth="1"/>
    <col min="12301" max="12544" width="9" style="165"/>
    <col min="12545" max="12545" width="10.125" style="165" customWidth="1"/>
    <col min="12546" max="12547" width="11.875" style="165" customWidth="1"/>
    <col min="12548" max="12548" width="11" style="165" customWidth="1"/>
    <col min="12549" max="12549" width="11.125" style="165" customWidth="1"/>
    <col min="12550" max="12550" width="18.5" style="165" customWidth="1"/>
    <col min="12551" max="12551" width="18.125" style="165" customWidth="1"/>
    <col min="12552" max="12553" width="11.375" style="165" customWidth="1"/>
    <col min="12554" max="12554" width="12.375" style="165" bestFit="1" customWidth="1"/>
    <col min="12555" max="12555" width="12.75" style="165" customWidth="1"/>
    <col min="12556" max="12556" width="15.375" style="165" customWidth="1"/>
    <col min="12557" max="12800" width="9" style="165"/>
    <col min="12801" max="12801" width="10.125" style="165" customWidth="1"/>
    <col min="12802" max="12803" width="11.875" style="165" customWidth="1"/>
    <col min="12804" max="12804" width="11" style="165" customWidth="1"/>
    <col min="12805" max="12805" width="11.125" style="165" customWidth="1"/>
    <col min="12806" max="12806" width="18.5" style="165" customWidth="1"/>
    <col min="12807" max="12807" width="18.125" style="165" customWidth="1"/>
    <col min="12808" max="12809" width="11.375" style="165" customWidth="1"/>
    <col min="12810" max="12810" width="12.375" style="165" bestFit="1" customWidth="1"/>
    <col min="12811" max="12811" width="12.75" style="165" customWidth="1"/>
    <col min="12812" max="12812" width="15.375" style="165" customWidth="1"/>
    <col min="12813" max="13056" width="9" style="165"/>
    <col min="13057" max="13057" width="10.125" style="165" customWidth="1"/>
    <col min="13058" max="13059" width="11.875" style="165" customWidth="1"/>
    <col min="13060" max="13060" width="11" style="165" customWidth="1"/>
    <col min="13061" max="13061" width="11.125" style="165" customWidth="1"/>
    <col min="13062" max="13062" width="18.5" style="165" customWidth="1"/>
    <col min="13063" max="13063" width="18.125" style="165" customWidth="1"/>
    <col min="13064" max="13065" width="11.375" style="165" customWidth="1"/>
    <col min="13066" max="13066" width="12.375" style="165" bestFit="1" customWidth="1"/>
    <col min="13067" max="13067" width="12.75" style="165" customWidth="1"/>
    <col min="13068" max="13068" width="15.375" style="165" customWidth="1"/>
    <col min="13069" max="13312" width="9" style="165"/>
    <col min="13313" max="13313" width="10.125" style="165" customWidth="1"/>
    <col min="13314" max="13315" width="11.875" style="165" customWidth="1"/>
    <col min="13316" max="13316" width="11" style="165" customWidth="1"/>
    <col min="13317" max="13317" width="11.125" style="165" customWidth="1"/>
    <col min="13318" max="13318" width="18.5" style="165" customWidth="1"/>
    <col min="13319" max="13319" width="18.125" style="165" customWidth="1"/>
    <col min="13320" max="13321" width="11.375" style="165" customWidth="1"/>
    <col min="13322" max="13322" width="12.375" style="165" bestFit="1" customWidth="1"/>
    <col min="13323" max="13323" width="12.75" style="165" customWidth="1"/>
    <col min="13324" max="13324" width="15.375" style="165" customWidth="1"/>
    <col min="13325" max="13568" width="9" style="165"/>
    <col min="13569" max="13569" width="10.125" style="165" customWidth="1"/>
    <col min="13570" max="13571" width="11.875" style="165" customWidth="1"/>
    <col min="13572" max="13572" width="11" style="165" customWidth="1"/>
    <col min="13573" max="13573" width="11.125" style="165" customWidth="1"/>
    <col min="13574" max="13574" width="18.5" style="165" customWidth="1"/>
    <col min="13575" max="13575" width="18.125" style="165" customWidth="1"/>
    <col min="13576" max="13577" width="11.375" style="165" customWidth="1"/>
    <col min="13578" max="13578" width="12.375" style="165" bestFit="1" customWidth="1"/>
    <col min="13579" max="13579" width="12.75" style="165" customWidth="1"/>
    <col min="13580" max="13580" width="15.375" style="165" customWidth="1"/>
    <col min="13581" max="13824" width="9" style="165"/>
    <col min="13825" max="13825" width="10.125" style="165" customWidth="1"/>
    <col min="13826" max="13827" width="11.875" style="165" customWidth="1"/>
    <col min="13828" max="13828" width="11" style="165" customWidth="1"/>
    <col min="13829" max="13829" width="11.125" style="165" customWidth="1"/>
    <col min="13830" max="13830" width="18.5" style="165" customWidth="1"/>
    <col min="13831" max="13831" width="18.125" style="165" customWidth="1"/>
    <col min="13832" max="13833" width="11.375" style="165" customWidth="1"/>
    <col min="13834" max="13834" width="12.375" style="165" bestFit="1" customWidth="1"/>
    <col min="13835" max="13835" width="12.75" style="165" customWidth="1"/>
    <col min="13836" max="13836" width="15.375" style="165" customWidth="1"/>
    <col min="13837" max="14080" width="9" style="165"/>
    <col min="14081" max="14081" width="10.125" style="165" customWidth="1"/>
    <col min="14082" max="14083" width="11.875" style="165" customWidth="1"/>
    <col min="14084" max="14084" width="11" style="165" customWidth="1"/>
    <col min="14085" max="14085" width="11.125" style="165" customWidth="1"/>
    <col min="14086" max="14086" width="18.5" style="165" customWidth="1"/>
    <col min="14087" max="14087" width="18.125" style="165" customWidth="1"/>
    <col min="14088" max="14089" width="11.375" style="165" customWidth="1"/>
    <col min="14090" max="14090" width="12.375" style="165" bestFit="1" customWidth="1"/>
    <col min="14091" max="14091" width="12.75" style="165" customWidth="1"/>
    <col min="14092" max="14092" width="15.375" style="165" customWidth="1"/>
    <col min="14093" max="14336" width="9" style="165"/>
    <col min="14337" max="14337" width="10.125" style="165" customWidth="1"/>
    <col min="14338" max="14339" width="11.875" style="165" customWidth="1"/>
    <col min="14340" max="14340" width="11" style="165" customWidth="1"/>
    <col min="14341" max="14341" width="11.125" style="165" customWidth="1"/>
    <col min="14342" max="14342" width="18.5" style="165" customWidth="1"/>
    <col min="14343" max="14343" width="18.125" style="165" customWidth="1"/>
    <col min="14344" max="14345" width="11.375" style="165" customWidth="1"/>
    <col min="14346" max="14346" width="12.375" style="165" bestFit="1" customWidth="1"/>
    <col min="14347" max="14347" width="12.75" style="165" customWidth="1"/>
    <col min="14348" max="14348" width="15.375" style="165" customWidth="1"/>
    <col min="14349" max="14592" width="9" style="165"/>
    <col min="14593" max="14593" width="10.125" style="165" customWidth="1"/>
    <col min="14594" max="14595" width="11.875" style="165" customWidth="1"/>
    <col min="14596" max="14596" width="11" style="165" customWidth="1"/>
    <col min="14597" max="14597" width="11.125" style="165" customWidth="1"/>
    <col min="14598" max="14598" width="18.5" style="165" customWidth="1"/>
    <col min="14599" max="14599" width="18.125" style="165" customWidth="1"/>
    <col min="14600" max="14601" width="11.375" style="165" customWidth="1"/>
    <col min="14602" max="14602" width="12.375" style="165" bestFit="1" customWidth="1"/>
    <col min="14603" max="14603" width="12.75" style="165" customWidth="1"/>
    <col min="14604" max="14604" width="15.375" style="165" customWidth="1"/>
    <col min="14605" max="14848" width="9" style="165"/>
    <col min="14849" max="14849" width="10.125" style="165" customWidth="1"/>
    <col min="14850" max="14851" width="11.875" style="165" customWidth="1"/>
    <col min="14852" max="14852" width="11" style="165" customWidth="1"/>
    <col min="14853" max="14853" width="11.125" style="165" customWidth="1"/>
    <col min="14854" max="14854" width="18.5" style="165" customWidth="1"/>
    <col min="14855" max="14855" width="18.125" style="165" customWidth="1"/>
    <col min="14856" max="14857" width="11.375" style="165" customWidth="1"/>
    <col min="14858" max="14858" width="12.375" style="165" bestFit="1" customWidth="1"/>
    <col min="14859" max="14859" width="12.75" style="165" customWidth="1"/>
    <col min="14860" max="14860" width="15.375" style="165" customWidth="1"/>
    <col min="14861" max="15104" width="9" style="165"/>
    <col min="15105" max="15105" width="10.125" style="165" customWidth="1"/>
    <col min="15106" max="15107" width="11.875" style="165" customWidth="1"/>
    <col min="15108" max="15108" width="11" style="165" customWidth="1"/>
    <col min="15109" max="15109" width="11.125" style="165" customWidth="1"/>
    <col min="15110" max="15110" width="18.5" style="165" customWidth="1"/>
    <col min="15111" max="15111" width="18.125" style="165" customWidth="1"/>
    <col min="15112" max="15113" width="11.375" style="165" customWidth="1"/>
    <col min="15114" max="15114" width="12.375" style="165" bestFit="1" customWidth="1"/>
    <col min="15115" max="15115" width="12.75" style="165" customWidth="1"/>
    <col min="15116" max="15116" width="15.375" style="165" customWidth="1"/>
    <col min="15117" max="15360" width="9" style="165"/>
    <col min="15361" max="15361" width="10.125" style="165" customWidth="1"/>
    <col min="15362" max="15363" width="11.875" style="165" customWidth="1"/>
    <col min="15364" max="15364" width="11" style="165" customWidth="1"/>
    <col min="15365" max="15365" width="11.125" style="165" customWidth="1"/>
    <col min="15366" max="15366" width="18.5" style="165" customWidth="1"/>
    <col min="15367" max="15367" width="18.125" style="165" customWidth="1"/>
    <col min="15368" max="15369" width="11.375" style="165" customWidth="1"/>
    <col min="15370" max="15370" width="12.375" style="165" bestFit="1" customWidth="1"/>
    <col min="15371" max="15371" width="12.75" style="165" customWidth="1"/>
    <col min="15372" max="15372" width="15.375" style="165" customWidth="1"/>
    <col min="15373" max="15616" width="9" style="165"/>
    <col min="15617" max="15617" width="10.125" style="165" customWidth="1"/>
    <col min="15618" max="15619" width="11.875" style="165" customWidth="1"/>
    <col min="15620" max="15620" width="11" style="165" customWidth="1"/>
    <col min="15621" max="15621" width="11.125" style="165" customWidth="1"/>
    <col min="15622" max="15622" width="18.5" style="165" customWidth="1"/>
    <col min="15623" max="15623" width="18.125" style="165" customWidth="1"/>
    <col min="15624" max="15625" width="11.375" style="165" customWidth="1"/>
    <col min="15626" max="15626" width="12.375" style="165" bestFit="1" customWidth="1"/>
    <col min="15627" max="15627" width="12.75" style="165" customWidth="1"/>
    <col min="15628" max="15628" width="15.375" style="165" customWidth="1"/>
    <col min="15629" max="15872" width="9" style="165"/>
    <col min="15873" max="15873" width="10.125" style="165" customWidth="1"/>
    <col min="15874" max="15875" width="11.875" style="165" customWidth="1"/>
    <col min="15876" max="15876" width="11" style="165" customWidth="1"/>
    <col min="15877" max="15877" width="11.125" style="165" customWidth="1"/>
    <col min="15878" max="15878" width="18.5" style="165" customWidth="1"/>
    <col min="15879" max="15879" width="18.125" style="165" customWidth="1"/>
    <col min="15880" max="15881" width="11.375" style="165" customWidth="1"/>
    <col min="15882" max="15882" width="12.375" style="165" bestFit="1" customWidth="1"/>
    <col min="15883" max="15883" width="12.75" style="165" customWidth="1"/>
    <col min="15884" max="15884" width="15.375" style="165" customWidth="1"/>
    <col min="15885" max="16128" width="9" style="165"/>
    <col min="16129" max="16129" width="10.125" style="165" customWidth="1"/>
    <col min="16130" max="16131" width="11.875" style="165" customWidth="1"/>
    <col min="16132" max="16132" width="11" style="165" customWidth="1"/>
    <col min="16133" max="16133" width="11.125" style="165" customWidth="1"/>
    <col min="16134" max="16134" width="18.5" style="165" customWidth="1"/>
    <col min="16135" max="16135" width="18.125" style="165" customWidth="1"/>
    <col min="16136" max="16137" width="11.375" style="165" customWidth="1"/>
    <col min="16138" max="16138" width="12.375" style="165" bestFit="1" customWidth="1"/>
    <col min="16139" max="16139" width="12.75" style="165" customWidth="1"/>
    <col min="16140" max="16140" width="15.375" style="165" customWidth="1"/>
    <col min="16141" max="16384" width="9" style="165"/>
  </cols>
  <sheetData>
    <row r="1" spans="1:12" ht="21" customHeight="1">
      <c r="A1" s="865" t="s">
        <v>166</v>
      </c>
      <c r="B1" s="865"/>
      <c r="C1" s="865"/>
      <c r="D1" s="865"/>
      <c r="E1" s="865"/>
      <c r="F1" s="865"/>
      <c r="G1" s="865"/>
      <c r="H1" s="865"/>
      <c r="I1" s="865"/>
      <c r="J1" s="865"/>
      <c r="K1" s="865"/>
      <c r="L1" s="865"/>
    </row>
    <row r="2" spans="1:12" ht="17.25" customHeight="1">
      <c r="A2" s="337" t="s">
        <v>503</v>
      </c>
      <c r="B2" s="367"/>
      <c r="C2" s="331"/>
      <c r="D2" s="331"/>
      <c r="E2" s="225"/>
      <c r="F2" s="225"/>
      <c r="G2" s="225"/>
      <c r="H2" s="188"/>
      <c r="I2" s="188"/>
      <c r="J2" s="188"/>
      <c r="K2" s="188"/>
    </row>
    <row r="3" spans="1:12" ht="12.75" thickBot="1">
      <c r="A3" s="330" t="s">
        <v>955</v>
      </c>
      <c r="B3" s="200"/>
      <c r="C3" s="200"/>
      <c r="H3" s="224"/>
      <c r="I3" s="224"/>
    </row>
    <row r="4" spans="1:12" ht="15" customHeight="1" thickTop="1" thickBot="1">
      <c r="A4" s="886" t="s">
        <v>956</v>
      </c>
      <c r="B4" s="887"/>
      <c r="C4" s="887"/>
      <c r="D4" s="887"/>
      <c r="E4" s="887"/>
      <c r="F4" s="888"/>
      <c r="G4" s="368" t="s">
        <v>504</v>
      </c>
      <c r="H4" s="369">
        <f>H10</f>
        <v>0</v>
      </c>
      <c r="I4" s="878">
        <f>J10</f>
        <v>0</v>
      </c>
      <c r="J4" s="879"/>
    </row>
    <row r="5" spans="1:12" ht="15" customHeight="1" thickTop="1">
      <c r="A5" s="370" t="s">
        <v>165</v>
      </c>
      <c r="B5" s="371" t="s">
        <v>158</v>
      </c>
      <c r="C5" s="371" t="s">
        <v>164</v>
      </c>
      <c r="D5" s="371" t="s">
        <v>157</v>
      </c>
      <c r="E5" s="372" t="s">
        <v>163</v>
      </c>
      <c r="F5" s="372" t="s">
        <v>767</v>
      </c>
      <c r="G5" s="372" t="s">
        <v>162</v>
      </c>
      <c r="H5" s="372" t="s">
        <v>161</v>
      </c>
      <c r="I5" s="373" t="s">
        <v>505</v>
      </c>
      <c r="J5" s="373" t="s">
        <v>160</v>
      </c>
      <c r="K5" s="371" t="s">
        <v>148</v>
      </c>
      <c r="L5" s="374" t="s">
        <v>147</v>
      </c>
    </row>
    <row r="6" spans="1:12" ht="15" customHeight="1">
      <c r="A6" s="342" t="s">
        <v>1</v>
      </c>
      <c r="B6" s="221">
        <v>42544</v>
      </c>
      <c r="C6" s="223">
        <v>42568</v>
      </c>
      <c r="D6" s="221">
        <v>42546</v>
      </c>
      <c r="E6" s="221">
        <v>42571</v>
      </c>
      <c r="F6" s="221">
        <v>42546</v>
      </c>
      <c r="G6" s="222">
        <v>42577</v>
      </c>
      <c r="H6" s="220">
        <f>IF(AND(F6="",E6=C6),0,IF((E6=G6),0,IF(OR(F6=""),NETWORKDAYS(C6,E6),NETWORKDAYS(G6,E6))))</f>
        <v>-5</v>
      </c>
      <c r="I6" s="219">
        <f>IF(OR(F6=""),H6/NETWORKDAYS(B6,C6),H6/NETWORKDAYS(F6,G6))</f>
        <v>-0.22727272727272727</v>
      </c>
      <c r="J6" s="219">
        <f>IF(OR(F6=""),H6/NETWORKDAYS(B$6,C6),H6/NETWORKDAYS(F$6,G6))</f>
        <v>-0.22727272727272727</v>
      </c>
      <c r="K6" s="218"/>
      <c r="L6" s="217"/>
    </row>
    <row r="7" spans="1:12" ht="15" customHeight="1">
      <c r="A7" s="342" t="s">
        <v>4</v>
      </c>
      <c r="B7" s="221">
        <v>42569</v>
      </c>
      <c r="C7" s="221">
        <v>42587</v>
      </c>
      <c r="D7" s="221">
        <v>42572</v>
      </c>
      <c r="E7" s="221">
        <v>42587</v>
      </c>
      <c r="F7" s="221"/>
      <c r="G7" s="221"/>
      <c r="H7" s="220">
        <f t="shared" ref="H7:H9" si="0">IF(AND(F7="",E7=C7),0,IF((E7=G7),0,IF(OR(F7=""),NETWORKDAYS(C7,E7),NETWORKDAYS(G7,E7))))</f>
        <v>0</v>
      </c>
      <c r="I7" s="219">
        <f t="shared" ref="I7:I10" si="1">IF(OR(F7=""),H7/NETWORKDAYS(B7,C7),H7/NETWORKDAYS(F7,G7))</f>
        <v>0</v>
      </c>
      <c r="J7" s="219">
        <f t="shared" ref="J7:J10" si="2">IF(OR(F7=""),H7/NETWORKDAYS(B$6,C7),H7/NETWORKDAYS(F$6,G7))</f>
        <v>0</v>
      </c>
      <c r="K7" s="218"/>
      <c r="L7" s="217"/>
    </row>
    <row r="8" spans="1:12" ht="15" customHeight="1">
      <c r="A8" s="342" t="s">
        <v>146</v>
      </c>
      <c r="B8" s="221">
        <v>42588</v>
      </c>
      <c r="C8" s="221">
        <v>42633</v>
      </c>
      <c r="D8" s="221">
        <v>42589</v>
      </c>
      <c r="E8" s="221">
        <v>42633</v>
      </c>
      <c r="F8" s="221"/>
      <c r="G8" s="221"/>
      <c r="H8" s="220">
        <f t="shared" si="0"/>
        <v>0</v>
      </c>
      <c r="I8" s="219">
        <f t="shared" si="1"/>
        <v>0</v>
      </c>
      <c r="J8" s="219">
        <f t="shared" si="2"/>
        <v>0</v>
      </c>
      <c r="K8" s="218"/>
      <c r="L8" s="217"/>
    </row>
    <row r="9" spans="1:12" ht="15" customHeight="1">
      <c r="A9" s="342" t="s">
        <v>6</v>
      </c>
      <c r="B9" s="221">
        <v>42603</v>
      </c>
      <c r="C9" s="221">
        <v>42628</v>
      </c>
      <c r="D9" s="221">
        <v>42631</v>
      </c>
      <c r="E9" s="221">
        <v>42628</v>
      </c>
      <c r="F9" s="221"/>
      <c r="G9" s="221"/>
      <c r="H9" s="220">
        <f t="shared" si="0"/>
        <v>0</v>
      </c>
      <c r="I9" s="219">
        <f t="shared" si="1"/>
        <v>0</v>
      </c>
      <c r="J9" s="219">
        <f t="shared" si="2"/>
        <v>0</v>
      </c>
      <c r="K9" s="218"/>
      <c r="L9" s="217"/>
    </row>
    <row r="10" spans="1:12" ht="15" customHeight="1" thickBot="1">
      <c r="A10" s="375" t="s">
        <v>126</v>
      </c>
      <c r="B10" s="216">
        <v>42628</v>
      </c>
      <c r="C10" s="216">
        <v>42651</v>
      </c>
      <c r="D10" s="216">
        <v>42627</v>
      </c>
      <c r="E10" s="216">
        <v>42650</v>
      </c>
      <c r="F10" s="216">
        <v>42629</v>
      </c>
      <c r="G10" s="216">
        <v>42650</v>
      </c>
      <c r="H10" s="220">
        <f>IF(AND(F10="",E10=C10),0,IF((E10=G10),0,IF(OR(F10=""),NETWORKDAYS(C10,E10),NETWORKDAYS(G10,E10))))</f>
        <v>0</v>
      </c>
      <c r="I10" s="219">
        <f t="shared" si="1"/>
        <v>0</v>
      </c>
      <c r="J10" s="219">
        <f t="shared" si="2"/>
        <v>0</v>
      </c>
      <c r="K10" s="215"/>
      <c r="L10" s="493"/>
    </row>
    <row r="11" spans="1:12" ht="14.25" customHeight="1" thickTop="1">
      <c r="A11" s="497"/>
      <c r="B11" s="497"/>
      <c r="C11" s="497"/>
      <c r="D11" s="497"/>
      <c r="E11" s="497"/>
      <c r="F11" s="497"/>
      <c r="G11" s="497"/>
      <c r="H11" s="496"/>
      <c r="I11" s="496"/>
      <c r="J11" s="496"/>
      <c r="K11" s="496"/>
    </row>
    <row r="12" spans="1:12" ht="14.25" customHeight="1">
      <c r="A12" s="877" t="s">
        <v>761</v>
      </c>
      <c r="B12" s="498" t="s">
        <v>766</v>
      </c>
      <c r="C12" s="498" t="str">
        <f>CONCATENATE("第",COLUMN(C12)-COLUMN($B$12),"周")</f>
        <v>第1周</v>
      </c>
      <c r="D12" s="498" t="str">
        <f>CONCATENATE("第",COLUMN(D12)-COLUMN($B$12),"周")</f>
        <v>第2周</v>
      </c>
      <c r="E12" s="498" t="str">
        <f>CONCATENATE("第",COLUMN(E12)-COLUMN($B$12),"周")</f>
        <v>第3周</v>
      </c>
      <c r="F12" s="498" t="str">
        <f>CONCATENATE("第",COLUMN(F12)-COLUMN($B$12),"周")</f>
        <v>第4周</v>
      </c>
      <c r="G12" s="498" t="str">
        <f>CONCATENATE("第",COLUMN(G12)-COLUMN($B$12),"周")</f>
        <v>第5周</v>
      </c>
      <c r="H12" s="498" t="s">
        <v>917</v>
      </c>
    </row>
    <row r="13" spans="1:12" ht="14.25" customHeight="1">
      <c r="A13" s="877"/>
      <c r="B13" s="530" t="s">
        <v>832</v>
      </c>
      <c r="C13" s="582">
        <v>2.2200000000000001E-2</v>
      </c>
      <c r="D13" s="582">
        <v>8.1100000000000005E-2</v>
      </c>
      <c r="E13" s="582">
        <v>3.56E-2</v>
      </c>
      <c r="F13" s="582">
        <v>2.5499999999999998E-2</v>
      </c>
      <c r="G13" s="582">
        <v>0</v>
      </c>
      <c r="H13" s="503">
        <v>0</v>
      </c>
    </row>
    <row r="14" spans="1:12" ht="14.25" customHeight="1">
      <c r="A14" s="876" t="s">
        <v>759</v>
      </c>
      <c r="B14" s="484" t="s">
        <v>50</v>
      </c>
      <c r="C14" s="580">
        <v>-0.1</v>
      </c>
      <c r="D14" s="580">
        <v>-0.1</v>
      </c>
      <c r="E14" s="580">
        <v>-0.1</v>
      </c>
      <c r="F14" s="580">
        <v>-0.1</v>
      </c>
      <c r="G14" s="580">
        <v>-0.1</v>
      </c>
      <c r="H14" s="503">
        <v>-0.1</v>
      </c>
    </row>
    <row r="15" spans="1:12" ht="14.25" customHeight="1">
      <c r="A15" s="876"/>
      <c r="B15" s="486" t="s">
        <v>51</v>
      </c>
      <c r="C15" s="581">
        <v>0.02</v>
      </c>
      <c r="D15" s="581">
        <v>0.02</v>
      </c>
      <c r="E15" s="581">
        <v>0.02</v>
      </c>
      <c r="F15" s="581">
        <v>0.02</v>
      </c>
      <c r="G15" s="581">
        <v>0.02</v>
      </c>
      <c r="H15" s="503">
        <v>0.02</v>
      </c>
    </row>
    <row r="16" spans="1:12" ht="14.25" customHeight="1">
      <c r="A16" s="876"/>
      <c r="B16" s="484" t="s">
        <v>760</v>
      </c>
      <c r="C16" s="580">
        <v>0.1</v>
      </c>
      <c r="D16" s="580">
        <v>0.1</v>
      </c>
      <c r="E16" s="580">
        <v>0.1</v>
      </c>
      <c r="F16" s="580">
        <v>0.1</v>
      </c>
      <c r="G16" s="580">
        <v>0.1</v>
      </c>
      <c r="H16" s="503">
        <v>0.1</v>
      </c>
    </row>
    <row r="17" spans="1:14" ht="14.25" customHeight="1">
      <c r="A17" s="224"/>
      <c r="B17" s="224"/>
      <c r="C17" s="224"/>
      <c r="D17" s="224"/>
      <c r="E17" s="224"/>
      <c r="F17" s="224"/>
      <c r="G17" s="224"/>
      <c r="H17" s="211"/>
    </row>
    <row r="18" spans="1:14" ht="14.25" customHeight="1">
      <c r="A18" s="224"/>
      <c r="B18" s="224"/>
      <c r="C18" s="224"/>
      <c r="D18" s="224"/>
      <c r="E18" s="224"/>
      <c r="F18" s="224"/>
      <c r="G18" s="224"/>
    </row>
    <row r="19" spans="1:14" ht="14.25" customHeight="1">
      <c r="A19" s="224"/>
      <c r="B19" s="224"/>
      <c r="C19" s="224"/>
      <c r="D19" s="224"/>
      <c r="E19" s="224"/>
      <c r="F19" s="224"/>
      <c r="G19" s="224"/>
    </row>
    <row r="20" spans="1:14" ht="14.25" customHeight="1">
      <c r="A20" s="224"/>
      <c r="B20" s="224"/>
      <c r="C20" s="224"/>
      <c r="D20" s="224"/>
      <c r="E20" s="224"/>
      <c r="F20" s="224"/>
      <c r="G20" s="224"/>
    </row>
    <row r="21" spans="1:14" ht="14.25" customHeight="1">
      <c r="A21" s="224"/>
      <c r="B21" s="224"/>
      <c r="C21" s="224"/>
      <c r="D21" s="224"/>
      <c r="E21" s="224"/>
      <c r="F21" s="224"/>
      <c r="G21" s="224"/>
      <c r="H21" s="211"/>
    </row>
    <row r="22" spans="1:14" ht="14.25" customHeight="1">
      <c r="A22" s="224"/>
      <c r="B22" s="224"/>
      <c r="C22" s="224"/>
      <c r="D22" s="224"/>
      <c r="E22" s="224"/>
      <c r="F22" s="224"/>
      <c r="G22" s="224"/>
      <c r="H22" s="211"/>
    </row>
    <row r="23" spans="1:14" ht="14.25" customHeight="1">
      <c r="A23" s="224"/>
      <c r="B23" s="224"/>
      <c r="C23" s="224"/>
      <c r="D23" s="224"/>
      <c r="E23" s="224"/>
      <c r="F23" s="224"/>
      <c r="G23" s="224"/>
      <c r="H23" s="885" t="s">
        <v>950</v>
      </c>
      <c r="I23" s="885"/>
      <c r="J23" s="885"/>
      <c r="K23" s="885"/>
      <c r="L23" s="885"/>
      <c r="M23" s="885"/>
      <c r="N23" s="885"/>
    </row>
    <row r="24" spans="1:14" ht="14.25" customHeight="1">
      <c r="A24" s="224"/>
      <c r="B24" s="224"/>
      <c r="C24" s="224"/>
      <c r="D24" s="224"/>
      <c r="E24" s="224"/>
      <c r="F24" s="224"/>
      <c r="G24" s="224"/>
      <c r="H24" s="885"/>
      <c r="I24" s="885"/>
      <c r="J24" s="885"/>
      <c r="K24" s="885"/>
      <c r="L24" s="885"/>
      <c r="M24" s="885"/>
      <c r="N24" s="885"/>
    </row>
    <row r="25" spans="1:14" ht="14.25" customHeight="1">
      <c r="A25" s="224"/>
      <c r="B25" s="224"/>
      <c r="C25" s="224"/>
      <c r="D25" s="224"/>
      <c r="E25" s="224"/>
      <c r="F25" s="224"/>
      <c r="G25" s="224"/>
      <c r="H25" s="885"/>
      <c r="I25" s="885"/>
      <c r="J25" s="885"/>
      <c r="K25" s="885"/>
      <c r="L25" s="885"/>
      <c r="M25" s="885"/>
      <c r="N25" s="885"/>
    </row>
    <row r="26" spans="1:14" ht="10.5" customHeight="1">
      <c r="A26" s="224"/>
      <c r="B26" s="224"/>
      <c r="C26" s="224"/>
      <c r="D26" s="224"/>
      <c r="E26" s="224"/>
      <c r="F26" s="224"/>
      <c r="G26" s="224"/>
      <c r="H26" s="885"/>
      <c r="I26" s="885"/>
      <c r="J26" s="885"/>
      <c r="K26" s="885"/>
      <c r="L26" s="885"/>
      <c r="M26" s="885"/>
      <c r="N26" s="885"/>
    </row>
    <row r="27" spans="1:14" ht="14.25" customHeight="1">
      <c r="A27" s="224"/>
      <c r="B27" s="224"/>
      <c r="C27" s="224"/>
      <c r="D27" s="224"/>
      <c r="E27" s="224"/>
      <c r="F27" s="224"/>
      <c r="G27" s="224"/>
      <c r="H27" s="211"/>
    </row>
    <row r="28" spans="1:14" ht="14.25" customHeight="1">
      <c r="A28" s="224"/>
      <c r="B28" s="224"/>
      <c r="C28" s="224"/>
      <c r="D28" s="224"/>
      <c r="E28" s="224"/>
      <c r="F28" s="224"/>
      <c r="G28" s="224"/>
      <c r="H28" s="211"/>
    </row>
    <row r="29" spans="1:14" ht="14.25" customHeight="1">
      <c r="A29" s="224"/>
      <c r="B29" s="224"/>
      <c r="C29" s="224"/>
      <c r="D29" s="224"/>
      <c r="E29" s="224"/>
      <c r="F29" s="224"/>
      <c r="G29" s="224"/>
      <c r="H29" s="211"/>
    </row>
    <row r="30" spans="1:14" ht="14.25" customHeight="1">
      <c r="A30" s="224"/>
      <c r="B30" s="224"/>
      <c r="C30" s="224"/>
      <c r="D30" s="224"/>
      <c r="E30" s="224"/>
      <c r="F30" s="224"/>
      <c r="G30" s="224"/>
      <c r="H30" s="211"/>
    </row>
    <row r="31" spans="1:14" ht="14.25" customHeight="1">
      <c r="A31" s="224"/>
      <c r="B31" s="224"/>
      <c r="C31" s="224"/>
      <c r="D31" s="224"/>
      <c r="E31" s="224"/>
      <c r="F31" s="224"/>
      <c r="G31" s="224"/>
      <c r="H31" s="211"/>
    </row>
    <row r="32" spans="1:14">
      <c r="A32" s="337" t="s">
        <v>156</v>
      </c>
      <c r="B32" s="376"/>
      <c r="H32" s="211"/>
    </row>
    <row r="33" spans="1:10">
      <c r="A33" s="880" t="s">
        <v>155</v>
      </c>
      <c r="B33" s="880"/>
      <c r="C33" s="880"/>
      <c r="D33" s="880"/>
      <c r="G33" s="212"/>
      <c r="H33" s="211"/>
    </row>
    <row r="34" spans="1:10" ht="12.75" thickBot="1">
      <c r="A34" s="213" t="s">
        <v>957</v>
      </c>
      <c r="B34" s="213"/>
      <c r="C34" s="213"/>
      <c r="D34" s="213"/>
      <c r="G34" s="212"/>
      <c r="H34" s="211"/>
    </row>
    <row r="35" spans="1:10" ht="15" customHeight="1" thickTop="1">
      <c r="A35" s="881" t="s">
        <v>506</v>
      </c>
      <c r="B35" s="883">
        <f>C36/D36</f>
        <v>1.25</v>
      </c>
      <c r="C35" s="377" t="s">
        <v>507</v>
      </c>
      <c r="D35" s="378" t="s">
        <v>508</v>
      </c>
      <c r="H35" s="211"/>
    </row>
    <row r="36" spans="1:10" ht="15" customHeight="1" thickBot="1">
      <c r="A36" s="882"/>
      <c r="B36" s="884"/>
      <c r="C36" s="210">
        <v>100</v>
      </c>
      <c r="D36" s="209">
        <v>80</v>
      </c>
    </row>
    <row r="37" spans="1:10" ht="15" customHeight="1" thickTop="1"/>
    <row r="38" spans="1:10" ht="15" customHeight="1">
      <c r="A38" s="337" t="s">
        <v>958</v>
      </c>
      <c r="B38" s="376"/>
    </row>
    <row r="39" spans="1:10">
      <c r="A39" s="818" t="s">
        <v>509</v>
      </c>
      <c r="B39" s="818"/>
      <c r="C39" s="818"/>
      <c r="D39" s="818"/>
      <c r="E39" s="818"/>
      <c r="F39" s="818"/>
      <c r="G39" s="818"/>
      <c r="H39" s="818"/>
      <c r="I39" s="818"/>
    </row>
    <row r="40" spans="1:10" ht="12.75" thickBot="1">
      <c r="A40" s="330" t="s">
        <v>510</v>
      </c>
      <c r="B40" s="330"/>
      <c r="C40" s="330"/>
      <c r="D40" s="330"/>
      <c r="E40" s="330"/>
      <c r="F40" s="330"/>
      <c r="G40" s="330"/>
      <c r="H40" s="330"/>
      <c r="I40" s="330"/>
    </row>
    <row r="41" spans="1:10" ht="24.75" thickTop="1">
      <c r="A41" s="379" t="s">
        <v>511</v>
      </c>
      <c r="B41" s="380" t="s">
        <v>512</v>
      </c>
      <c r="C41" s="381" t="s">
        <v>513</v>
      </c>
      <c r="D41" s="380" t="s">
        <v>514</v>
      </c>
      <c r="E41" s="380" t="s">
        <v>515</v>
      </c>
      <c r="F41" s="382" t="s">
        <v>516</v>
      </c>
      <c r="G41" s="383" t="s">
        <v>517</v>
      </c>
      <c r="I41" s="205" t="s">
        <v>518</v>
      </c>
      <c r="J41" s="208">
        <f>C42</f>
        <v>1</v>
      </c>
    </row>
    <row r="42" spans="1:10" ht="17.25" customHeight="1" thickBot="1">
      <c r="A42" s="644">
        <v>10</v>
      </c>
      <c r="B42" s="645">
        <v>20</v>
      </c>
      <c r="C42" s="646">
        <f>(B42-A42)/A42*100%</f>
        <v>1</v>
      </c>
      <c r="D42" s="647">
        <v>300</v>
      </c>
      <c r="E42" s="647">
        <v>400</v>
      </c>
      <c r="F42" s="648">
        <f>(E42-D42)/D42*100%</f>
        <v>0.33333333333333331</v>
      </c>
      <c r="G42" s="207"/>
      <c r="I42" s="205" t="s">
        <v>519</v>
      </c>
      <c r="J42" s="204">
        <f>F42</f>
        <v>0.33333333333333331</v>
      </c>
    </row>
    <row r="43" spans="1:10" ht="24.75" thickTop="1">
      <c r="A43" s="204"/>
      <c r="B43" s="203"/>
      <c r="C43" s="203"/>
      <c r="D43" s="384" t="s">
        <v>512</v>
      </c>
      <c r="E43" s="385" t="s">
        <v>520</v>
      </c>
      <c r="F43" s="206"/>
      <c r="G43" s="202"/>
      <c r="I43" s="205" t="s">
        <v>521</v>
      </c>
      <c r="J43" s="204">
        <f>F44</f>
        <v>-0.48333333333333334</v>
      </c>
    </row>
    <row r="44" spans="1:10" ht="17.25" customHeight="1" thickBot="1">
      <c r="A44" s="204"/>
      <c r="B44" s="203"/>
      <c r="C44" s="203"/>
      <c r="D44" s="649">
        <v>300</v>
      </c>
      <c r="E44" s="650">
        <v>155</v>
      </c>
      <c r="F44" s="651">
        <f>(E44-D44)/D44*100%</f>
        <v>-0.48333333333333334</v>
      </c>
      <c r="G44" s="202"/>
    </row>
    <row r="45" spans="1:10" ht="12.75" thickTop="1"/>
  </sheetData>
  <mergeCells count="10">
    <mergeCell ref="A14:A16"/>
    <mergeCell ref="A12:A13"/>
    <mergeCell ref="A39:I39"/>
    <mergeCell ref="A1:L1"/>
    <mergeCell ref="I4:J4"/>
    <mergeCell ref="A33:D33"/>
    <mergeCell ref="A35:A36"/>
    <mergeCell ref="B35:B36"/>
    <mergeCell ref="H23:N26"/>
    <mergeCell ref="A4:F4"/>
  </mergeCells>
  <phoneticPr fontId="5" type="noConversion"/>
  <pageMargins left="0.98425196850393704" right="0.74803149606299213" top="0.98425196850393704" bottom="0.98425196850393704" header="0.51181102362204722" footer="0.51181102362204722"/>
  <pageSetup paperSize="9" orientation="landscape"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71" r:id="rId4" name="Button 3">
              <controlPr defaultSize="0" print="0" autoFill="0" autoPict="0" macro="[0]!Button1_Click_week_added">
                <anchor moveWithCells="1" sizeWithCells="1">
                  <from>
                    <xdr:col>7</xdr:col>
                    <xdr:colOff>9525</xdr:colOff>
                    <xdr:row>16</xdr:row>
                    <xdr:rowOff>171450</xdr:rowOff>
                  </from>
                  <to>
                    <xdr:col>7</xdr:col>
                    <xdr:colOff>676275</xdr:colOff>
                    <xdr:row>18</xdr:row>
                    <xdr:rowOff>133350</xdr:rowOff>
                  </to>
                </anchor>
              </controlPr>
            </control>
          </mc:Choice>
        </mc:AlternateContent>
        <mc:AlternateContent xmlns:mc="http://schemas.openxmlformats.org/markup-compatibility/2006">
          <mc:Choice Requires="x14">
            <control shapeId="58372" r:id="rId5" name="Button 4">
              <controlPr defaultSize="0" print="0" autoFill="0" autoPict="0" macro="[0]!Button2_Click_week_delete">
                <anchor moveWithCells="1" sizeWithCells="1">
                  <from>
                    <xdr:col>7</xdr:col>
                    <xdr:colOff>19050</xdr:colOff>
                    <xdr:row>19</xdr:row>
                    <xdr:rowOff>28575</xdr:rowOff>
                  </from>
                  <to>
                    <xdr:col>7</xdr:col>
                    <xdr:colOff>685800</xdr:colOff>
                    <xdr:row>20</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sheetPr>
  <dimension ref="A1:P132"/>
  <sheetViews>
    <sheetView workbookViewId="0">
      <selection sqref="A1:N1"/>
    </sheetView>
  </sheetViews>
  <sheetFormatPr defaultRowHeight="12"/>
  <cols>
    <col min="1" max="1" width="9.875" style="211" customWidth="1"/>
    <col min="2" max="2" width="9" style="211"/>
    <col min="3" max="3" width="9.375" style="211" customWidth="1"/>
    <col min="4" max="9" width="9" style="211"/>
    <col min="10" max="10" width="8.25" style="211" customWidth="1"/>
    <col min="11" max="11" width="10.25" style="211" customWidth="1"/>
    <col min="12" max="16384" width="9" style="211"/>
  </cols>
  <sheetData>
    <row r="1" spans="1:14" ht="24.75" customHeight="1">
      <c r="A1" s="865" t="s">
        <v>791</v>
      </c>
      <c r="B1" s="865"/>
      <c r="C1" s="865"/>
      <c r="D1" s="865"/>
      <c r="E1" s="865"/>
      <c r="F1" s="865"/>
      <c r="G1" s="865"/>
      <c r="H1" s="865"/>
      <c r="I1" s="865"/>
      <c r="J1" s="865"/>
      <c r="K1" s="865"/>
      <c r="L1" s="865"/>
      <c r="M1" s="865"/>
      <c r="N1" s="865"/>
    </row>
    <row r="2" spans="1:14" ht="27" customHeight="1">
      <c r="A2" s="897" t="s">
        <v>803</v>
      </c>
      <c r="B2" s="897"/>
      <c r="C2" s="897"/>
      <c r="D2" s="897"/>
      <c r="E2" s="897"/>
      <c r="F2" s="897"/>
      <c r="G2" s="897"/>
      <c r="H2" s="897"/>
      <c r="I2" s="897"/>
      <c r="J2" s="500"/>
      <c r="K2" s="500"/>
      <c r="L2" s="500"/>
      <c r="M2" s="500"/>
      <c r="N2" s="500"/>
    </row>
    <row r="3" spans="1:14" ht="12" customHeight="1">
      <c r="A3" s="652" t="s">
        <v>936</v>
      </c>
      <c r="B3" s="637"/>
      <c r="C3" s="637"/>
      <c r="D3" s="637"/>
      <c r="E3" s="637"/>
      <c r="F3" s="637"/>
      <c r="G3" s="637"/>
      <c r="H3" s="637"/>
      <c r="I3" s="637"/>
      <c r="J3" s="635"/>
      <c r="K3" s="635"/>
      <c r="L3" s="635"/>
      <c r="M3" s="635"/>
      <c r="N3" s="635"/>
    </row>
    <row r="4" spans="1:14" ht="17.25" customHeight="1">
      <c r="A4" s="502" t="s">
        <v>796</v>
      </c>
      <c r="B4" s="502"/>
      <c r="C4" s="531"/>
    </row>
    <row r="5" spans="1:14" ht="25.5" customHeight="1">
      <c r="A5" s="890" t="s">
        <v>769</v>
      </c>
      <c r="B5" s="890" t="s">
        <v>770</v>
      </c>
      <c r="C5" s="890"/>
      <c r="D5" s="890"/>
      <c r="E5" s="890"/>
      <c r="F5" s="890"/>
      <c r="G5" s="892" t="s">
        <v>779</v>
      </c>
      <c r="H5" s="892" t="s">
        <v>780</v>
      </c>
      <c r="I5" s="890" t="s">
        <v>771</v>
      </c>
      <c r="J5" s="894" t="s">
        <v>772</v>
      </c>
      <c r="K5" s="889" t="s">
        <v>784</v>
      </c>
      <c r="L5" s="891" t="s">
        <v>759</v>
      </c>
      <c r="M5" s="891"/>
      <c r="N5" s="891"/>
    </row>
    <row r="6" spans="1:14" ht="13.5" customHeight="1">
      <c r="A6" s="890"/>
      <c r="B6" s="504" t="s">
        <v>773</v>
      </c>
      <c r="C6" s="504" t="s">
        <v>774</v>
      </c>
      <c r="D6" s="504" t="s">
        <v>775</v>
      </c>
      <c r="E6" s="504" t="s">
        <v>776</v>
      </c>
      <c r="F6" s="504" t="s">
        <v>777</v>
      </c>
      <c r="G6" s="893"/>
      <c r="H6" s="893"/>
      <c r="I6" s="890"/>
      <c r="J6" s="895"/>
      <c r="K6" s="890"/>
      <c r="L6" s="484" t="s">
        <v>50</v>
      </c>
      <c r="M6" s="486" t="s">
        <v>51</v>
      </c>
      <c r="N6" s="484" t="s">
        <v>760</v>
      </c>
    </row>
    <row r="7" spans="1:14" ht="14.25" customHeight="1">
      <c r="A7" s="504" t="str">
        <f t="shared" ref="A7:A8" si="0">CONCATENATE("第",ROW(A7)-ROW($A$6),"次评审")</f>
        <v>第1次评审</v>
      </c>
      <c r="B7" s="506">
        <v>0</v>
      </c>
      <c r="C7" s="506">
        <v>3</v>
      </c>
      <c r="D7" s="506">
        <v>1</v>
      </c>
      <c r="E7" s="506">
        <v>6</v>
      </c>
      <c r="F7" s="506">
        <v>0</v>
      </c>
      <c r="G7" s="506">
        <v>10</v>
      </c>
      <c r="H7" s="506">
        <v>0</v>
      </c>
      <c r="I7" s="524">
        <f t="shared" ref="I7:I9" si="1">SUM($B7:$F7)</f>
        <v>10</v>
      </c>
      <c r="J7" s="506">
        <v>16</v>
      </c>
      <c r="K7" s="526">
        <f t="shared" ref="K7:K10" si="2">I7/J7</f>
        <v>0.625</v>
      </c>
      <c r="L7" s="509">
        <v>0</v>
      </c>
      <c r="M7" s="510">
        <v>0.3075</v>
      </c>
      <c r="N7" s="509">
        <v>0.65469999999999995</v>
      </c>
    </row>
    <row r="8" spans="1:14">
      <c r="A8" s="615" t="str">
        <f t="shared" si="0"/>
        <v>第2次评审</v>
      </c>
      <c r="B8" s="506">
        <v>0</v>
      </c>
      <c r="C8" s="506">
        <v>2</v>
      </c>
      <c r="D8" s="506">
        <v>3</v>
      </c>
      <c r="E8" s="506">
        <v>2</v>
      </c>
      <c r="F8" s="506">
        <v>0</v>
      </c>
      <c r="G8" s="506">
        <v>7</v>
      </c>
      <c r="H8" s="506">
        <v>0</v>
      </c>
      <c r="I8" s="524">
        <f t="shared" si="1"/>
        <v>7</v>
      </c>
      <c r="J8" s="506">
        <v>15</v>
      </c>
      <c r="K8" s="526">
        <f t="shared" si="2"/>
        <v>0.46666666666666667</v>
      </c>
      <c r="L8" s="509">
        <v>0</v>
      </c>
      <c r="M8" s="510">
        <v>0.3075</v>
      </c>
      <c r="N8" s="509">
        <v>0.65469999999999995</v>
      </c>
    </row>
    <row r="9" spans="1:14">
      <c r="A9" s="504" t="s">
        <v>778</v>
      </c>
      <c r="B9" s="507" t="s">
        <v>768</v>
      </c>
      <c r="C9" s="507" t="s">
        <v>768</v>
      </c>
      <c r="D9" s="507" t="s">
        <v>768</v>
      </c>
      <c r="E9" s="507" t="s">
        <v>768</v>
      </c>
      <c r="F9" s="507" t="s">
        <v>768</v>
      </c>
      <c r="G9" s="507" t="s">
        <v>768</v>
      </c>
      <c r="H9" s="507" t="s">
        <v>768</v>
      </c>
      <c r="I9" s="507">
        <f t="shared" si="1"/>
        <v>0</v>
      </c>
      <c r="J9" s="507" t="s">
        <v>768</v>
      </c>
      <c r="K9" s="517" t="e">
        <f t="shared" si="2"/>
        <v>#VALUE!</v>
      </c>
      <c r="L9" s="511">
        <v>0</v>
      </c>
      <c r="M9" s="511">
        <v>0.3075</v>
      </c>
      <c r="N9" s="511">
        <v>0.65469999999999995</v>
      </c>
    </row>
    <row r="10" spans="1:14">
      <c r="A10" s="619" t="s">
        <v>616</v>
      </c>
      <c r="B10" s="524">
        <f t="shared" ref="B10:H10" si="3">SUM(B7:B9)</f>
        <v>0</v>
      </c>
      <c r="C10" s="524">
        <f t="shared" si="3"/>
        <v>5</v>
      </c>
      <c r="D10" s="524">
        <f t="shared" si="3"/>
        <v>4</v>
      </c>
      <c r="E10" s="524">
        <f t="shared" si="3"/>
        <v>8</v>
      </c>
      <c r="F10" s="524">
        <f t="shared" si="3"/>
        <v>0</v>
      </c>
      <c r="G10" s="524">
        <f t="shared" si="3"/>
        <v>17</v>
      </c>
      <c r="H10" s="524">
        <f t="shared" si="3"/>
        <v>0</v>
      </c>
      <c r="I10" s="524">
        <f>IF(SUM(I7:I9)=0,"-",SUM(I7:I9))</f>
        <v>17</v>
      </c>
      <c r="J10" s="524">
        <f>IF(SUM(J7:J9)=0,"-",SUM(J7:J9))</f>
        <v>31</v>
      </c>
      <c r="K10" s="526">
        <f t="shared" si="2"/>
        <v>0.54838709677419351</v>
      </c>
      <c r="L10" s="516"/>
      <c r="M10" s="516"/>
      <c r="N10" s="516"/>
    </row>
    <row r="13" spans="1:14">
      <c r="L13" s="527"/>
    </row>
    <row r="14" spans="1:14">
      <c r="L14" s="527"/>
    </row>
    <row r="15" spans="1:14">
      <c r="L15" s="527"/>
    </row>
    <row r="16" spans="1:14">
      <c r="L16" s="527"/>
    </row>
    <row r="17" spans="1:14">
      <c r="L17" s="527"/>
    </row>
    <row r="27" spans="1:14" ht="27">
      <c r="A27" s="502" t="s">
        <v>795</v>
      </c>
      <c r="B27" s="502"/>
      <c r="C27" s="531"/>
      <c r="D27" s="532"/>
      <c r="E27" s="532"/>
      <c r="F27" s="532"/>
      <c r="G27" s="532"/>
      <c r="H27" s="532"/>
      <c r="I27" s="532"/>
      <c r="J27" s="532"/>
      <c r="K27" s="532"/>
    </row>
    <row r="28" spans="1:14">
      <c r="A28" s="890" t="s">
        <v>769</v>
      </c>
      <c r="B28" s="890" t="s">
        <v>770</v>
      </c>
      <c r="C28" s="890"/>
      <c r="D28" s="890"/>
      <c r="E28" s="890"/>
      <c r="F28" s="890"/>
      <c r="G28" s="892" t="s">
        <v>779</v>
      </c>
      <c r="H28" s="892" t="s">
        <v>780</v>
      </c>
      <c r="I28" s="890" t="s">
        <v>771</v>
      </c>
      <c r="J28" s="894" t="s">
        <v>772</v>
      </c>
      <c r="K28" s="889" t="s">
        <v>784</v>
      </c>
      <c r="L28" s="891" t="s">
        <v>759</v>
      </c>
      <c r="M28" s="891"/>
      <c r="N28" s="891"/>
    </row>
    <row r="29" spans="1:14">
      <c r="A29" s="890"/>
      <c r="B29" s="504" t="s">
        <v>773</v>
      </c>
      <c r="C29" s="504" t="s">
        <v>774</v>
      </c>
      <c r="D29" s="504" t="s">
        <v>775</v>
      </c>
      <c r="E29" s="504" t="s">
        <v>776</v>
      </c>
      <c r="F29" s="504" t="s">
        <v>777</v>
      </c>
      <c r="G29" s="893"/>
      <c r="H29" s="893"/>
      <c r="I29" s="890"/>
      <c r="J29" s="895"/>
      <c r="K29" s="890"/>
      <c r="L29" s="484" t="s">
        <v>50</v>
      </c>
      <c r="M29" s="486" t="s">
        <v>51</v>
      </c>
      <c r="N29" s="484" t="s">
        <v>760</v>
      </c>
    </row>
    <row r="30" spans="1:14" ht="18.75" customHeight="1">
      <c r="A30" s="504" t="str">
        <f>CONCATENATE("第",ROW(A30)-ROW($A$29),"次评审")</f>
        <v>第1次评审</v>
      </c>
      <c r="B30" s="506">
        <v>0</v>
      </c>
      <c r="C30" s="506">
        <v>3</v>
      </c>
      <c r="D30" s="506">
        <v>6</v>
      </c>
      <c r="E30" s="506">
        <v>7</v>
      </c>
      <c r="F30" s="506">
        <v>0</v>
      </c>
      <c r="G30" s="506">
        <v>16</v>
      </c>
      <c r="H30" s="506">
        <v>0</v>
      </c>
      <c r="I30" s="524">
        <f>SUM($B30:$F30)</f>
        <v>16</v>
      </c>
      <c r="J30" s="506">
        <v>30</v>
      </c>
      <c r="K30" s="526">
        <f>I30/J30</f>
        <v>0.53333333333333333</v>
      </c>
      <c r="L30" s="509">
        <v>0</v>
      </c>
      <c r="M30" s="510">
        <v>0.28660000000000002</v>
      </c>
      <c r="N30" s="509">
        <v>0.61099999999999999</v>
      </c>
    </row>
    <row r="31" spans="1:14">
      <c r="A31" s="616" t="str">
        <f>CONCATENATE("第",ROW(A31)-ROW($A$29),"次评审")</f>
        <v>第2次评审</v>
      </c>
      <c r="B31" s="506">
        <v>0</v>
      </c>
      <c r="C31" s="506">
        <v>1</v>
      </c>
      <c r="D31" s="506">
        <v>6</v>
      </c>
      <c r="E31" s="506">
        <v>3</v>
      </c>
      <c r="F31" s="506">
        <v>0</v>
      </c>
      <c r="G31" s="506">
        <v>10</v>
      </c>
      <c r="H31" s="506">
        <v>0</v>
      </c>
      <c r="I31" s="525">
        <f>SUM($B31:$F31)</f>
        <v>10</v>
      </c>
      <c r="J31" s="506">
        <v>19</v>
      </c>
      <c r="K31" s="526">
        <f t="shared" ref="K31:K34" si="4">I31/J31</f>
        <v>0.52631578947368418</v>
      </c>
      <c r="L31" s="509">
        <v>0</v>
      </c>
      <c r="M31" s="510">
        <v>0.28660000000000002</v>
      </c>
      <c r="N31" s="509">
        <v>0.61099999999999999</v>
      </c>
    </row>
    <row r="32" spans="1:14">
      <c r="A32" s="616" t="str">
        <f>CONCATENATE("第",ROW(A32)-ROW($A$29),"次评审")</f>
        <v>第3次评审</v>
      </c>
      <c r="B32" s="506">
        <v>0</v>
      </c>
      <c r="C32" s="506">
        <v>0</v>
      </c>
      <c r="D32" s="506">
        <v>9</v>
      </c>
      <c r="E32" s="506">
        <v>1</v>
      </c>
      <c r="F32" s="506">
        <v>0</v>
      </c>
      <c r="G32" s="506">
        <v>10</v>
      </c>
      <c r="H32" s="506">
        <v>0</v>
      </c>
      <c r="I32" s="525">
        <f>SUM($B32:$F32)</f>
        <v>10</v>
      </c>
      <c r="J32" s="506">
        <v>20</v>
      </c>
      <c r="K32" s="526">
        <f t="shared" si="4"/>
        <v>0.5</v>
      </c>
      <c r="L32" s="509">
        <v>0</v>
      </c>
      <c r="M32" s="510">
        <v>0.28660000000000002</v>
      </c>
      <c r="N32" s="509">
        <v>0.61099999999999999</v>
      </c>
    </row>
    <row r="33" spans="1:14">
      <c r="A33" s="504" t="s">
        <v>778</v>
      </c>
      <c r="B33" s="519" t="s">
        <v>914</v>
      </c>
      <c r="C33" s="519" t="s">
        <v>914</v>
      </c>
      <c r="D33" s="519" t="s">
        <v>914</v>
      </c>
      <c r="E33" s="519" t="s">
        <v>914</v>
      </c>
      <c r="F33" s="519" t="s">
        <v>914</v>
      </c>
      <c r="G33" s="519" t="s">
        <v>914</v>
      </c>
      <c r="H33" s="519" t="s">
        <v>914</v>
      </c>
      <c r="I33" s="507">
        <f>SUM($B33:$F33)</f>
        <v>0</v>
      </c>
      <c r="J33" s="514" t="s">
        <v>279</v>
      </c>
      <c r="K33" s="517" t="e">
        <f t="shared" si="4"/>
        <v>#VALUE!</v>
      </c>
      <c r="L33" s="518">
        <v>0</v>
      </c>
      <c r="M33" s="518">
        <v>0.28660000000000002</v>
      </c>
      <c r="N33" s="518">
        <v>0.61099999999999999</v>
      </c>
    </row>
    <row r="34" spans="1:14">
      <c r="A34" s="504" t="s">
        <v>781</v>
      </c>
      <c r="B34" s="524">
        <f t="shared" ref="B34:J34" si="5">SUM(B30:B33)</f>
        <v>0</v>
      </c>
      <c r="C34" s="524">
        <f t="shared" si="5"/>
        <v>4</v>
      </c>
      <c r="D34" s="524">
        <f t="shared" si="5"/>
        <v>21</v>
      </c>
      <c r="E34" s="524">
        <f t="shared" si="5"/>
        <v>11</v>
      </c>
      <c r="F34" s="524">
        <f t="shared" si="5"/>
        <v>0</v>
      </c>
      <c r="G34" s="524">
        <f t="shared" si="5"/>
        <v>36</v>
      </c>
      <c r="H34" s="524">
        <f t="shared" si="5"/>
        <v>0</v>
      </c>
      <c r="I34" s="524">
        <f t="shared" si="5"/>
        <v>36</v>
      </c>
      <c r="J34" s="524">
        <f t="shared" si="5"/>
        <v>69</v>
      </c>
      <c r="K34" s="526">
        <f t="shared" si="4"/>
        <v>0.52173913043478259</v>
      </c>
      <c r="L34" s="516"/>
      <c r="M34" s="516"/>
      <c r="N34" s="516"/>
    </row>
    <row r="37" spans="1:14">
      <c r="L37" s="527"/>
    </row>
    <row r="38" spans="1:14">
      <c r="L38" s="527"/>
    </row>
    <row r="39" spans="1:14">
      <c r="L39" s="527"/>
    </row>
    <row r="40" spans="1:14">
      <c r="L40" s="527"/>
    </row>
    <row r="41" spans="1:14">
      <c r="L41" s="527"/>
    </row>
    <row r="43" spans="1:14" ht="18" customHeight="1"/>
    <row r="45" spans="1:14" ht="13.5" customHeight="1"/>
    <row r="53" spans="1:14" ht="27">
      <c r="A53" s="502" t="s">
        <v>794</v>
      </c>
      <c r="B53" s="502"/>
      <c r="C53" s="531"/>
      <c r="D53" s="532"/>
      <c r="E53" s="532"/>
      <c r="F53" s="532"/>
      <c r="G53" s="532"/>
      <c r="H53" s="532"/>
      <c r="I53" s="532"/>
      <c r="J53" s="532"/>
      <c r="K53" s="532"/>
    </row>
    <row r="54" spans="1:14">
      <c r="A54" s="890" t="s">
        <v>769</v>
      </c>
      <c r="B54" s="890" t="s">
        <v>770</v>
      </c>
      <c r="C54" s="890"/>
      <c r="D54" s="890"/>
      <c r="E54" s="890"/>
      <c r="F54" s="890"/>
      <c r="G54" s="892" t="s">
        <v>779</v>
      </c>
      <c r="H54" s="892" t="s">
        <v>780</v>
      </c>
      <c r="I54" s="890" t="s">
        <v>771</v>
      </c>
      <c r="J54" s="894" t="s">
        <v>772</v>
      </c>
      <c r="K54" s="889" t="s">
        <v>784</v>
      </c>
      <c r="L54" s="891" t="s">
        <v>759</v>
      </c>
      <c r="M54" s="891"/>
      <c r="N54" s="891"/>
    </row>
    <row r="55" spans="1:14">
      <c r="A55" s="890"/>
      <c r="B55" s="504" t="s">
        <v>773</v>
      </c>
      <c r="C55" s="504" t="s">
        <v>774</v>
      </c>
      <c r="D55" s="504" t="s">
        <v>775</v>
      </c>
      <c r="E55" s="504" t="s">
        <v>776</v>
      </c>
      <c r="F55" s="504" t="s">
        <v>777</v>
      </c>
      <c r="G55" s="893"/>
      <c r="H55" s="893"/>
      <c r="I55" s="890"/>
      <c r="J55" s="895"/>
      <c r="K55" s="890"/>
      <c r="L55" s="484" t="s">
        <v>50</v>
      </c>
      <c r="M55" s="486" t="s">
        <v>51</v>
      </c>
      <c r="N55" s="484" t="s">
        <v>760</v>
      </c>
    </row>
    <row r="56" spans="1:14">
      <c r="A56" s="504" t="str">
        <f>CONCATENATE("第",ROW(A56)-ROW($A$55),"次评审")</f>
        <v>第1次评审</v>
      </c>
      <c r="B56" s="508">
        <v>0</v>
      </c>
      <c r="C56" s="508">
        <v>2</v>
      </c>
      <c r="D56" s="508">
        <v>3</v>
      </c>
      <c r="E56" s="508">
        <v>2</v>
      </c>
      <c r="F56" s="508">
        <v>1</v>
      </c>
      <c r="G56" s="508">
        <v>8</v>
      </c>
      <c r="H56" s="508">
        <v>0</v>
      </c>
      <c r="I56" s="521">
        <f>SUM($B56:$F56)</f>
        <v>8</v>
      </c>
      <c r="J56" s="508">
        <v>15</v>
      </c>
      <c r="K56" s="523">
        <f t="shared" ref="K56:K60" si="6">I56/J56</f>
        <v>0.53333333333333333</v>
      </c>
      <c r="L56" s="509">
        <v>0</v>
      </c>
      <c r="M56" s="510">
        <v>0.23330000000000001</v>
      </c>
      <c r="N56" s="509">
        <v>0.71309999999999996</v>
      </c>
    </row>
    <row r="57" spans="1:14">
      <c r="A57" s="616" t="str">
        <f>CONCATENATE("第",ROW(A57)-ROW($A$55),"次评审")</f>
        <v>第2次评审</v>
      </c>
      <c r="B57" s="508">
        <v>0</v>
      </c>
      <c r="C57" s="508">
        <v>2</v>
      </c>
      <c r="D57" s="508">
        <v>2</v>
      </c>
      <c r="E57" s="508">
        <v>7</v>
      </c>
      <c r="F57" s="508">
        <v>1</v>
      </c>
      <c r="G57" s="508">
        <v>12</v>
      </c>
      <c r="H57" s="508">
        <v>0</v>
      </c>
      <c r="I57" s="522">
        <f>SUM($B57:$F57)</f>
        <v>12</v>
      </c>
      <c r="J57" s="508">
        <v>20</v>
      </c>
      <c r="K57" s="523">
        <f t="shared" si="6"/>
        <v>0.6</v>
      </c>
      <c r="L57" s="509">
        <v>0</v>
      </c>
      <c r="M57" s="510">
        <v>0.23330000000000001</v>
      </c>
      <c r="N57" s="509">
        <v>0.71309999999999996</v>
      </c>
    </row>
    <row r="58" spans="1:14">
      <c r="A58" s="616" t="str">
        <f>CONCATENATE("第",ROW(A58)-ROW($A$55),"次评审")</f>
        <v>第3次评审</v>
      </c>
      <c r="B58" s="508">
        <v>0</v>
      </c>
      <c r="C58" s="508">
        <v>1</v>
      </c>
      <c r="D58" s="508">
        <v>1</v>
      </c>
      <c r="E58" s="508">
        <v>5</v>
      </c>
      <c r="F58" s="508">
        <v>2</v>
      </c>
      <c r="G58" s="508">
        <v>9</v>
      </c>
      <c r="H58" s="508">
        <v>0</v>
      </c>
      <c r="I58" s="522">
        <f>SUM($B58:$F58)</f>
        <v>9</v>
      </c>
      <c r="J58" s="508">
        <v>15</v>
      </c>
      <c r="K58" s="523">
        <f t="shared" si="6"/>
        <v>0.6</v>
      </c>
      <c r="L58" s="509">
        <v>0</v>
      </c>
      <c r="M58" s="510">
        <v>0.23330000000000001</v>
      </c>
      <c r="N58" s="509">
        <v>0.71309999999999996</v>
      </c>
    </row>
    <row r="59" spans="1:14">
      <c r="A59" s="504" t="s">
        <v>778</v>
      </c>
      <c r="B59" s="519"/>
      <c r="C59" s="519"/>
      <c r="D59" s="519"/>
      <c r="E59" s="519"/>
      <c r="F59" s="519"/>
      <c r="G59" s="519"/>
      <c r="H59" s="519"/>
      <c r="I59" s="507">
        <f>SUM($B59:$F59)</f>
        <v>0</v>
      </c>
      <c r="J59" s="519" t="s">
        <v>279</v>
      </c>
      <c r="K59" s="517" t="e">
        <f t="shared" si="6"/>
        <v>#VALUE!</v>
      </c>
      <c r="L59" s="518">
        <v>0</v>
      </c>
      <c r="M59" s="518">
        <v>0.23330000000000001</v>
      </c>
      <c r="N59" s="518">
        <v>0.71309999999999996</v>
      </c>
    </row>
    <row r="60" spans="1:14">
      <c r="A60" s="504" t="s">
        <v>781</v>
      </c>
      <c r="B60" s="521">
        <f t="shared" ref="B60:J60" si="7">SUM(B56:B59)</f>
        <v>0</v>
      </c>
      <c r="C60" s="521">
        <f t="shared" si="7"/>
        <v>5</v>
      </c>
      <c r="D60" s="521">
        <f t="shared" si="7"/>
        <v>6</v>
      </c>
      <c r="E60" s="521">
        <f t="shared" si="7"/>
        <v>14</v>
      </c>
      <c r="F60" s="521">
        <f t="shared" si="7"/>
        <v>4</v>
      </c>
      <c r="G60" s="521">
        <f t="shared" si="7"/>
        <v>29</v>
      </c>
      <c r="H60" s="521">
        <f t="shared" si="7"/>
        <v>0</v>
      </c>
      <c r="I60" s="521">
        <f t="shared" si="7"/>
        <v>29</v>
      </c>
      <c r="J60" s="521">
        <f t="shared" si="7"/>
        <v>50</v>
      </c>
      <c r="K60" s="520">
        <f t="shared" si="6"/>
        <v>0.57999999999999996</v>
      </c>
    </row>
    <row r="62" spans="1:14">
      <c r="L62" s="527"/>
    </row>
    <row r="63" spans="1:14">
      <c r="L63" s="527"/>
    </row>
    <row r="64" spans="1:14">
      <c r="L64" s="527"/>
    </row>
    <row r="65" spans="1:16">
      <c r="L65" s="527"/>
    </row>
    <row r="66" spans="1:16">
      <c r="L66" s="527"/>
    </row>
    <row r="67" spans="1:16">
      <c r="L67" s="527"/>
    </row>
    <row r="79" spans="1:16">
      <c r="P79" s="620"/>
    </row>
    <row r="80" spans="1:16" ht="27">
      <c r="A80" s="502" t="s">
        <v>797</v>
      </c>
      <c r="B80" s="502"/>
      <c r="C80" s="531"/>
      <c r="D80" s="532"/>
      <c r="E80" s="532"/>
      <c r="F80" s="532"/>
      <c r="G80" s="532"/>
      <c r="H80" s="532"/>
      <c r="I80" s="532"/>
      <c r="J80" s="532"/>
      <c r="K80" s="532"/>
    </row>
    <row r="81" spans="1:14">
      <c r="A81" s="890" t="s">
        <v>769</v>
      </c>
      <c r="B81" s="890" t="s">
        <v>770</v>
      </c>
      <c r="C81" s="890"/>
      <c r="D81" s="890"/>
      <c r="E81" s="890"/>
      <c r="F81" s="890"/>
      <c r="G81" s="892" t="s">
        <v>779</v>
      </c>
      <c r="H81" s="892" t="s">
        <v>780</v>
      </c>
      <c r="I81" s="890" t="s">
        <v>771</v>
      </c>
      <c r="J81" s="894" t="s">
        <v>782</v>
      </c>
      <c r="K81" s="889" t="s">
        <v>785</v>
      </c>
      <c r="L81" s="891" t="s">
        <v>759</v>
      </c>
      <c r="M81" s="891"/>
      <c r="N81" s="891"/>
    </row>
    <row r="82" spans="1:14">
      <c r="A82" s="890"/>
      <c r="B82" s="504" t="s">
        <v>773</v>
      </c>
      <c r="C82" s="504" t="s">
        <v>774</v>
      </c>
      <c r="D82" s="504" t="s">
        <v>775</v>
      </c>
      <c r="E82" s="504" t="s">
        <v>776</v>
      </c>
      <c r="F82" s="504" t="s">
        <v>777</v>
      </c>
      <c r="G82" s="893"/>
      <c r="H82" s="893"/>
      <c r="I82" s="890"/>
      <c r="J82" s="895"/>
      <c r="K82" s="890"/>
      <c r="L82" s="484" t="s">
        <v>50</v>
      </c>
      <c r="M82" s="486" t="s">
        <v>51</v>
      </c>
      <c r="N82" s="484" t="s">
        <v>760</v>
      </c>
    </row>
    <row r="83" spans="1:14">
      <c r="A83" s="504" t="str">
        <f>CONCATENATE("第",ROW(A83)-ROW($A$82),"次评审")</f>
        <v>第1次评审</v>
      </c>
      <c r="B83" s="506">
        <v>1</v>
      </c>
      <c r="C83" s="506">
        <v>3</v>
      </c>
      <c r="D83" s="506">
        <v>20</v>
      </c>
      <c r="E83" s="506">
        <v>15</v>
      </c>
      <c r="F83" s="506">
        <v>2</v>
      </c>
      <c r="G83" s="506">
        <v>41</v>
      </c>
      <c r="H83" s="506">
        <v>0</v>
      </c>
      <c r="I83" s="525">
        <f>SUM($B83:$F83)</f>
        <v>41</v>
      </c>
      <c r="J83" s="506">
        <v>600</v>
      </c>
      <c r="K83" s="526">
        <f t="shared" ref="K83:K87" si="8">I83/J83</f>
        <v>6.8333333333333329E-2</v>
      </c>
      <c r="L83" s="509">
        <v>0</v>
      </c>
      <c r="M83" s="510">
        <v>4.351E-2</v>
      </c>
      <c r="N83" s="509">
        <v>8.7900000000000006E-2</v>
      </c>
    </row>
    <row r="84" spans="1:14">
      <c r="A84" s="504" t="str">
        <f t="shared" ref="A84" si="9">CONCATENATE("第",ROW(A84)-ROW($A$82),"次评审")</f>
        <v>第2次评审</v>
      </c>
      <c r="B84" s="506">
        <v>2</v>
      </c>
      <c r="C84" s="506">
        <v>4</v>
      </c>
      <c r="D84" s="506">
        <v>26</v>
      </c>
      <c r="E84" s="506">
        <v>17</v>
      </c>
      <c r="F84" s="506">
        <v>5</v>
      </c>
      <c r="G84" s="506">
        <v>54</v>
      </c>
      <c r="H84" s="506">
        <v>0</v>
      </c>
      <c r="I84" s="525">
        <f>SUM($B84:$F84)</f>
        <v>54</v>
      </c>
      <c r="J84" s="506">
        <v>680</v>
      </c>
      <c r="K84" s="526">
        <f t="shared" si="8"/>
        <v>7.9411764705882348E-2</v>
      </c>
      <c r="L84" s="509">
        <v>0</v>
      </c>
      <c r="M84" s="510">
        <v>4.351E-2</v>
      </c>
      <c r="N84" s="509">
        <v>8.7900000000000006E-2</v>
      </c>
    </row>
    <row r="85" spans="1:14">
      <c r="A85" s="616" t="str">
        <f>CONCATENATE("第",ROW(A85)-ROW($A$82),"次评审")</f>
        <v>第3次评审</v>
      </c>
      <c r="B85" s="506">
        <v>3</v>
      </c>
      <c r="C85" s="506">
        <v>8</v>
      </c>
      <c r="D85" s="506">
        <v>11</v>
      </c>
      <c r="E85" s="506">
        <v>0</v>
      </c>
      <c r="F85" s="506">
        <v>0</v>
      </c>
      <c r="G85" s="506">
        <v>22</v>
      </c>
      <c r="H85" s="506">
        <v>0</v>
      </c>
      <c r="I85" s="525">
        <f>SUM($B85:$F85)</f>
        <v>22</v>
      </c>
      <c r="J85" s="506">
        <v>300</v>
      </c>
      <c r="K85" s="526">
        <f t="shared" si="8"/>
        <v>7.3333333333333334E-2</v>
      </c>
      <c r="L85" s="509">
        <v>0</v>
      </c>
      <c r="M85" s="510">
        <v>4.351E-2</v>
      </c>
      <c r="N85" s="509">
        <v>8.7900000000000006E-2</v>
      </c>
    </row>
    <row r="86" spans="1:14">
      <c r="A86" s="504" t="s">
        <v>778</v>
      </c>
      <c r="B86" s="507"/>
      <c r="C86" s="507"/>
      <c r="D86" s="507"/>
      <c r="E86" s="507"/>
      <c r="F86" s="507"/>
      <c r="G86" s="507"/>
      <c r="H86" s="507"/>
      <c r="I86" s="529">
        <f>SUM($B86:$F86)</f>
        <v>0</v>
      </c>
      <c r="J86" s="507" t="s">
        <v>279</v>
      </c>
      <c r="K86" s="528" t="e">
        <f t="shared" si="8"/>
        <v>#VALUE!</v>
      </c>
      <c r="L86" s="518">
        <v>0</v>
      </c>
      <c r="M86" s="518">
        <v>4.351E-2</v>
      </c>
      <c r="N86" s="518">
        <v>8.7900000000000006E-2</v>
      </c>
    </row>
    <row r="87" spans="1:14">
      <c r="A87" s="504" t="s">
        <v>781</v>
      </c>
      <c r="B87" s="524">
        <f t="shared" ref="B87:J87" si="10">SUM(B83:B86)</f>
        <v>6</v>
      </c>
      <c r="C87" s="524">
        <f t="shared" si="10"/>
        <v>15</v>
      </c>
      <c r="D87" s="524">
        <f t="shared" si="10"/>
        <v>57</v>
      </c>
      <c r="E87" s="524">
        <f t="shared" si="10"/>
        <v>32</v>
      </c>
      <c r="F87" s="524">
        <f t="shared" si="10"/>
        <v>7</v>
      </c>
      <c r="G87" s="524">
        <f t="shared" si="10"/>
        <v>117</v>
      </c>
      <c r="H87" s="524">
        <f t="shared" si="10"/>
        <v>0</v>
      </c>
      <c r="I87" s="524">
        <f t="shared" si="10"/>
        <v>117</v>
      </c>
      <c r="J87" s="524">
        <f t="shared" si="10"/>
        <v>1580</v>
      </c>
      <c r="K87" s="526">
        <f t="shared" si="8"/>
        <v>7.4050632911392411E-2</v>
      </c>
      <c r="L87" s="513"/>
      <c r="M87" s="513"/>
      <c r="N87" s="513"/>
    </row>
    <row r="89" spans="1:14">
      <c r="L89" s="527"/>
    </row>
    <row r="90" spans="1:14">
      <c r="L90" s="527"/>
    </row>
    <row r="91" spans="1:14">
      <c r="L91" s="527"/>
    </row>
    <row r="92" spans="1:14">
      <c r="L92" s="527"/>
    </row>
    <row r="93" spans="1:14">
      <c r="L93" s="527"/>
    </row>
    <row r="105" spans="1:14" ht="27">
      <c r="A105" s="502" t="s">
        <v>799</v>
      </c>
      <c r="B105" s="502"/>
      <c r="C105" s="531"/>
      <c r="D105" s="532"/>
      <c r="E105" s="532"/>
      <c r="F105" s="532"/>
      <c r="G105" s="532"/>
      <c r="H105" s="532"/>
      <c r="I105" s="532"/>
      <c r="J105" s="532"/>
      <c r="K105" s="532"/>
    </row>
    <row r="106" spans="1:14">
      <c r="A106" s="890" t="s">
        <v>798</v>
      </c>
      <c r="B106" s="890" t="s">
        <v>770</v>
      </c>
      <c r="C106" s="890"/>
      <c r="D106" s="890"/>
      <c r="E106" s="890"/>
      <c r="F106" s="890"/>
      <c r="G106" s="892" t="s">
        <v>779</v>
      </c>
      <c r="H106" s="892" t="s">
        <v>780</v>
      </c>
      <c r="I106" s="890" t="s">
        <v>771</v>
      </c>
      <c r="J106" s="894" t="s">
        <v>786</v>
      </c>
      <c r="K106" s="889" t="s">
        <v>787</v>
      </c>
      <c r="L106" s="891" t="s">
        <v>759</v>
      </c>
      <c r="M106" s="891"/>
      <c r="N106" s="891"/>
    </row>
    <row r="107" spans="1:14">
      <c r="A107" s="890"/>
      <c r="B107" s="504" t="s">
        <v>773</v>
      </c>
      <c r="C107" s="504" t="s">
        <v>774</v>
      </c>
      <c r="D107" s="504" t="s">
        <v>775</v>
      </c>
      <c r="E107" s="504" t="s">
        <v>776</v>
      </c>
      <c r="F107" s="504" t="s">
        <v>777</v>
      </c>
      <c r="G107" s="893"/>
      <c r="H107" s="893"/>
      <c r="I107" s="890"/>
      <c r="J107" s="895"/>
      <c r="K107" s="890"/>
      <c r="L107" s="484" t="s">
        <v>50</v>
      </c>
      <c r="M107" s="486" t="s">
        <v>51</v>
      </c>
      <c r="N107" s="484" t="s">
        <v>760</v>
      </c>
    </row>
    <row r="108" spans="1:14">
      <c r="A108" s="504" t="str">
        <f t="shared" ref="A108:A111" si="11">CONCATENATE("第",ROW(A108)-ROW($A$107),"次走查")</f>
        <v>第1次走查</v>
      </c>
      <c r="B108" s="512">
        <v>1</v>
      </c>
      <c r="C108" s="512">
        <v>5</v>
      </c>
      <c r="D108" s="512">
        <v>6</v>
      </c>
      <c r="E108" s="512">
        <v>3</v>
      </c>
      <c r="F108" s="512">
        <v>2</v>
      </c>
      <c r="G108" s="512">
        <v>17</v>
      </c>
      <c r="H108" s="512">
        <v>0</v>
      </c>
      <c r="I108" s="204">
        <f t="shared" ref="I108:I109" si="12">SUM($B108:$F108)</f>
        <v>17</v>
      </c>
      <c r="J108" s="512">
        <v>80</v>
      </c>
      <c r="K108" s="526">
        <f t="shared" ref="K108:K113" si="13">I108/J108</f>
        <v>0.21249999999999999</v>
      </c>
      <c r="L108" s="509">
        <v>0</v>
      </c>
      <c r="M108" s="510">
        <v>0.3</v>
      </c>
      <c r="N108" s="509">
        <v>0.65790273556231016</v>
      </c>
    </row>
    <row r="109" spans="1:14">
      <c r="A109" s="504" t="str">
        <f t="shared" si="11"/>
        <v>第2次走查</v>
      </c>
      <c r="B109" s="512">
        <v>0</v>
      </c>
      <c r="C109" s="512">
        <v>3</v>
      </c>
      <c r="D109" s="512">
        <v>2</v>
      </c>
      <c r="E109" s="512">
        <v>2</v>
      </c>
      <c r="F109" s="512">
        <v>2</v>
      </c>
      <c r="G109" s="512">
        <v>9</v>
      </c>
      <c r="H109" s="512">
        <v>0</v>
      </c>
      <c r="I109" s="204">
        <f t="shared" si="12"/>
        <v>9</v>
      </c>
      <c r="J109" s="512">
        <v>75</v>
      </c>
      <c r="K109" s="526">
        <f t="shared" si="13"/>
        <v>0.12</v>
      </c>
      <c r="L109" s="509">
        <v>0</v>
      </c>
      <c r="M109" s="510">
        <v>0.3</v>
      </c>
      <c r="N109" s="509">
        <v>0.65790273556231016</v>
      </c>
    </row>
    <row r="110" spans="1:14">
      <c r="A110" s="505" t="str">
        <f t="shared" si="11"/>
        <v>第3次走查</v>
      </c>
      <c r="B110" s="512">
        <v>2</v>
      </c>
      <c r="C110" s="512">
        <v>1</v>
      </c>
      <c r="D110" s="512">
        <v>7</v>
      </c>
      <c r="E110" s="512">
        <v>2</v>
      </c>
      <c r="F110" s="512">
        <v>2</v>
      </c>
      <c r="G110" s="512">
        <v>14</v>
      </c>
      <c r="H110" s="512">
        <v>0</v>
      </c>
      <c r="I110" s="204">
        <f>SUM($B110:$F110)</f>
        <v>14</v>
      </c>
      <c r="J110" s="512">
        <v>25</v>
      </c>
      <c r="K110" s="526">
        <f t="shared" si="13"/>
        <v>0.56000000000000005</v>
      </c>
      <c r="L110" s="509">
        <v>0</v>
      </c>
      <c r="M110" s="510">
        <v>0.3</v>
      </c>
      <c r="N110" s="509">
        <v>0.65790273556231016</v>
      </c>
    </row>
    <row r="111" spans="1:14">
      <c r="A111" s="505" t="str">
        <f t="shared" si="11"/>
        <v>第4次走查</v>
      </c>
      <c r="B111" s="512">
        <v>0</v>
      </c>
      <c r="C111" s="512">
        <v>4</v>
      </c>
      <c r="D111" s="512">
        <v>4</v>
      </c>
      <c r="E111" s="512">
        <v>6</v>
      </c>
      <c r="F111" s="512">
        <v>1</v>
      </c>
      <c r="G111" s="512">
        <v>15</v>
      </c>
      <c r="H111" s="512">
        <v>0</v>
      </c>
      <c r="I111" s="204">
        <f>SUM($B111:$F111)</f>
        <v>15</v>
      </c>
      <c r="J111" s="512">
        <v>30</v>
      </c>
      <c r="K111" s="526">
        <f t="shared" si="13"/>
        <v>0.5</v>
      </c>
      <c r="L111" s="509">
        <v>0</v>
      </c>
      <c r="M111" s="510">
        <v>0.3</v>
      </c>
      <c r="N111" s="509">
        <v>0.65790273556231016</v>
      </c>
    </row>
    <row r="112" spans="1:14">
      <c r="A112" s="504" t="s">
        <v>788</v>
      </c>
      <c r="B112" s="507"/>
      <c r="C112" s="507"/>
      <c r="D112" s="507"/>
      <c r="E112" s="507"/>
      <c r="F112" s="507"/>
      <c r="G112" s="507"/>
      <c r="H112" s="507"/>
      <c r="I112" s="529">
        <f>SUM($B112:$F112)</f>
        <v>0</v>
      </c>
      <c r="J112" s="507" t="s">
        <v>279</v>
      </c>
      <c r="K112" s="528" t="e">
        <f t="shared" si="13"/>
        <v>#VALUE!</v>
      </c>
      <c r="L112" s="518">
        <v>0</v>
      </c>
      <c r="M112" s="518">
        <v>0.3</v>
      </c>
      <c r="N112" s="518">
        <v>0.65790273556231016</v>
      </c>
    </row>
    <row r="113" spans="1:14">
      <c r="A113" s="504" t="s">
        <v>781</v>
      </c>
      <c r="B113" s="524">
        <f t="shared" ref="B113:J113" si="14">SUM(B106:B112)</f>
        <v>3</v>
      </c>
      <c r="C113" s="524">
        <f t="shared" si="14"/>
        <v>13</v>
      </c>
      <c r="D113" s="524">
        <f t="shared" si="14"/>
        <v>19</v>
      </c>
      <c r="E113" s="524">
        <f t="shared" si="14"/>
        <v>13</v>
      </c>
      <c r="F113" s="524">
        <f t="shared" si="14"/>
        <v>7</v>
      </c>
      <c r="G113" s="524">
        <f t="shared" si="14"/>
        <v>55</v>
      </c>
      <c r="H113" s="524">
        <f t="shared" si="14"/>
        <v>0</v>
      </c>
      <c r="I113" s="524">
        <f t="shared" si="14"/>
        <v>55</v>
      </c>
      <c r="J113" s="524">
        <f t="shared" si="14"/>
        <v>210</v>
      </c>
      <c r="K113" s="526">
        <f t="shared" si="13"/>
        <v>0.26190476190476192</v>
      </c>
      <c r="L113" s="513"/>
      <c r="M113" s="513"/>
      <c r="N113" s="513"/>
    </row>
    <row r="115" spans="1:14">
      <c r="L115" s="527" t="s">
        <v>39</v>
      </c>
    </row>
    <row r="116" spans="1:14">
      <c r="L116" s="527" t="s">
        <v>783</v>
      </c>
    </row>
    <row r="117" spans="1:14">
      <c r="L117" s="527" t="s">
        <v>789</v>
      </c>
    </row>
    <row r="118" spans="1:14">
      <c r="L118" s="527" t="s">
        <v>790</v>
      </c>
    </row>
    <row r="119" spans="1:14">
      <c r="L119" s="527" t="s">
        <v>916</v>
      </c>
    </row>
    <row r="132" spans="1:11" ht="27">
      <c r="A132" s="515"/>
      <c r="B132" s="896"/>
      <c r="C132" s="896"/>
      <c r="D132" s="896"/>
      <c r="E132" s="896"/>
      <c r="F132" s="896"/>
      <c r="G132" s="896"/>
      <c r="H132" s="896"/>
      <c r="I132" s="896"/>
      <c r="J132" s="896"/>
      <c r="K132" s="896"/>
    </row>
  </sheetData>
  <mergeCells count="43">
    <mergeCell ref="A5:A6"/>
    <mergeCell ref="B5:F5"/>
    <mergeCell ref="G5:G6"/>
    <mergeCell ref="A1:N1"/>
    <mergeCell ref="B132:K132"/>
    <mergeCell ref="A2:I2"/>
    <mergeCell ref="L5:N5"/>
    <mergeCell ref="H5:H6"/>
    <mergeCell ref="I5:I6"/>
    <mergeCell ref="J5:J6"/>
    <mergeCell ref="K5:K6"/>
    <mergeCell ref="A28:A29"/>
    <mergeCell ref="B28:F28"/>
    <mergeCell ref="G28:G29"/>
    <mergeCell ref="H28:H29"/>
    <mergeCell ref="I28:I29"/>
    <mergeCell ref="J28:J29"/>
    <mergeCell ref="K28:K29"/>
    <mergeCell ref="L28:N28"/>
    <mergeCell ref="A54:A55"/>
    <mergeCell ref="B54:F54"/>
    <mergeCell ref="G54:G55"/>
    <mergeCell ref="H54:H55"/>
    <mergeCell ref="I54:I55"/>
    <mergeCell ref="J54:J55"/>
    <mergeCell ref="A81:A82"/>
    <mergeCell ref="B81:F81"/>
    <mergeCell ref="G81:G82"/>
    <mergeCell ref="H81:H82"/>
    <mergeCell ref="I81:I82"/>
    <mergeCell ref="J81:J82"/>
    <mergeCell ref="K81:K82"/>
    <mergeCell ref="L81:N81"/>
    <mergeCell ref="K54:K55"/>
    <mergeCell ref="L54:N54"/>
    <mergeCell ref="K106:K107"/>
    <mergeCell ref="L106:N106"/>
    <mergeCell ref="A106:A107"/>
    <mergeCell ref="B106:F106"/>
    <mergeCell ref="G106:G107"/>
    <mergeCell ref="H106:H107"/>
    <mergeCell ref="I106:I107"/>
    <mergeCell ref="J106:J107"/>
  </mergeCells>
  <phoneticPr fontId="5" type="noConversion"/>
  <conditionalFormatting sqref="K59 K30:K34">
    <cfRule type="cellIs" dxfId="33" priority="17" operator="lessThan">
      <formula>$L$33</formula>
    </cfRule>
    <cfRule type="cellIs" dxfId="32" priority="18" operator="greaterThan">
      <formula>$N$33</formula>
    </cfRule>
  </conditionalFormatting>
  <conditionalFormatting sqref="K86">
    <cfRule type="cellIs" dxfId="31" priority="13" operator="lessThan">
      <formula>$L$33</formula>
    </cfRule>
    <cfRule type="cellIs" dxfId="30" priority="14" operator="greaterThan">
      <formula>$N$33</formula>
    </cfRule>
  </conditionalFormatting>
  <conditionalFormatting sqref="K86 K56:K60">
    <cfRule type="cellIs" dxfId="29" priority="11" operator="lessThan">
      <formula>$L$59</formula>
    </cfRule>
    <cfRule type="cellIs" dxfId="28" priority="12" operator="greaterThan">
      <formula>$N$59</formula>
    </cfRule>
  </conditionalFormatting>
  <conditionalFormatting sqref="K7:K10">
    <cfRule type="cellIs" dxfId="27" priority="880" operator="lessThan">
      <formula>$L$9</formula>
    </cfRule>
    <cfRule type="cellIs" dxfId="26" priority="881" operator="greaterThan">
      <formula>$N$9</formula>
    </cfRule>
    <cfRule type="cellIs" dxfId="25" priority="882" operator="greaterThan">
      <formula>0.6547</formula>
    </cfRule>
  </conditionalFormatting>
  <conditionalFormatting sqref="K83:K87">
    <cfRule type="cellIs" dxfId="24" priority="886" operator="greaterThan">
      <formula>$N$86</formula>
    </cfRule>
    <cfRule type="cellIs" dxfId="23" priority="887" operator="lessThan">
      <formula>$L$86</formula>
    </cfRule>
    <cfRule type="cellIs" dxfId="22" priority="888" operator="greaterThan">
      <formula>$N$86</formula>
    </cfRule>
  </conditionalFormatting>
  <conditionalFormatting sqref="K108:K113">
    <cfRule type="cellIs" dxfId="21" priority="890" operator="greaterThan">
      <formula>$N$112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6" r:id="rId4" name="Button 2">
              <controlPr defaultSize="0" print="0" autoFill="0" autoPict="0" macro="[0]!Button3_Click_Crreview_add">
                <anchor moveWithCells="1">
                  <from>
                    <xdr:col>0</xdr:col>
                    <xdr:colOff>114300</xdr:colOff>
                    <xdr:row>10</xdr:row>
                    <xdr:rowOff>104775</xdr:rowOff>
                  </from>
                  <to>
                    <xdr:col>1</xdr:col>
                    <xdr:colOff>266700</xdr:colOff>
                    <xdr:row>12</xdr:row>
                    <xdr:rowOff>19050</xdr:rowOff>
                  </to>
                </anchor>
              </controlPr>
            </control>
          </mc:Choice>
        </mc:AlternateContent>
        <mc:AlternateContent xmlns:mc="http://schemas.openxmlformats.org/markup-compatibility/2006">
          <mc:Choice Requires="x14">
            <control shapeId="62468" r:id="rId5" name="Button 4">
              <controlPr defaultSize="0" print="0" autoFill="0" autoPict="0" macro="[0]!Button4_Click_Frreview_add">
                <anchor moveWithCells="1">
                  <from>
                    <xdr:col>0</xdr:col>
                    <xdr:colOff>95250</xdr:colOff>
                    <xdr:row>35</xdr:row>
                    <xdr:rowOff>47625</xdr:rowOff>
                  </from>
                  <to>
                    <xdr:col>1</xdr:col>
                    <xdr:colOff>257175</xdr:colOff>
                    <xdr:row>36</xdr:row>
                    <xdr:rowOff>142875</xdr:rowOff>
                  </to>
                </anchor>
              </controlPr>
            </control>
          </mc:Choice>
        </mc:AlternateContent>
        <mc:AlternateContent xmlns:mc="http://schemas.openxmlformats.org/markup-compatibility/2006">
          <mc:Choice Requires="x14">
            <control shapeId="62469" r:id="rId6" name="Button 5">
              <controlPr defaultSize="0" print="0" autoFill="0" autoPict="0" macro="[0]!button5_Click_Dreview_add">
                <anchor moveWithCells="1">
                  <from>
                    <xdr:col>0</xdr:col>
                    <xdr:colOff>85725</xdr:colOff>
                    <xdr:row>60</xdr:row>
                    <xdr:rowOff>104775</xdr:rowOff>
                  </from>
                  <to>
                    <xdr:col>1</xdr:col>
                    <xdr:colOff>238125</xdr:colOff>
                    <xdr:row>62</xdr:row>
                    <xdr:rowOff>57150</xdr:rowOff>
                  </to>
                </anchor>
              </controlPr>
            </control>
          </mc:Choice>
        </mc:AlternateContent>
        <mc:AlternateContent xmlns:mc="http://schemas.openxmlformats.org/markup-compatibility/2006">
          <mc:Choice Requires="x14">
            <control shapeId="62472" r:id="rId7" name="Button 8">
              <controlPr defaultSize="0" print="0" autoFill="0" autoPict="0" macro="[0]!button6_Click_Tcreview_add">
                <anchor moveWithCells="1">
                  <from>
                    <xdr:col>0</xdr:col>
                    <xdr:colOff>104775</xdr:colOff>
                    <xdr:row>87</xdr:row>
                    <xdr:rowOff>76200</xdr:rowOff>
                  </from>
                  <to>
                    <xdr:col>1</xdr:col>
                    <xdr:colOff>295275</xdr:colOff>
                    <xdr:row>89</xdr:row>
                    <xdr:rowOff>19050</xdr:rowOff>
                  </to>
                </anchor>
              </controlPr>
            </control>
          </mc:Choice>
        </mc:AlternateContent>
        <mc:AlternateContent xmlns:mc="http://schemas.openxmlformats.org/markup-compatibility/2006">
          <mc:Choice Requires="x14">
            <control shapeId="62473" r:id="rId8" name="Button 9">
              <controlPr defaultSize="0" print="0" autoFill="0" autoPict="0" macro="[0]!Button7_Click_Creview_add">
                <anchor moveWithCells="1">
                  <from>
                    <xdr:col>0</xdr:col>
                    <xdr:colOff>200025</xdr:colOff>
                    <xdr:row>113</xdr:row>
                    <xdr:rowOff>85725</xdr:rowOff>
                  </from>
                  <to>
                    <xdr:col>1</xdr:col>
                    <xdr:colOff>342900</xdr:colOff>
                    <xdr:row>115</xdr:row>
                    <xdr:rowOff>19050</xdr:rowOff>
                  </to>
                </anchor>
              </controlPr>
            </control>
          </mc:Choice>
        </mc:AlternateContent>
        <mc:AlternateContent xmlns:mc="http://schemas.openxmlformats.org/markup-compatibility/2006">
          <mc:Choice Requires="x14">
            <control shapeId="62474" r:id="rId9" name="Button 10">
              <controlPr defaultSize="0" print="0" autoFill="0" autoPict="0" macro="[0]!Button9_Click_Crreview_delete">
                <anchor moveWithCells="1">
                  <from>
                    <xdr:col>0</xdr:col>
                    <xdr:colOff>114300</xdr:colOff>
                    <xdr:row>12</xdr:row>
                    <xdr:rowOff>85725</xdr:rowOff>
                  </from>
                  <to>
                    <xdr:col>1</xdr:col>
                    <xdr:colOff>266700</xdr:colOff>
                    <xdr:row>14</xdr:row>
                    <xdr:rowOff>0</xdr:rowOff>
                  </to>
                </anchor>
              </controlPr>
            </control>
          </mc:Choice>
        </mc:AlternateContent>
        <mc:AlternateContent xmlns:mc="http://schemas.openxmlformats.org/markup-compatibility/2006">
          <mc:Choice Requires="x14">
            <control shapeId="62475" r:id="rId10" name="Button 11">
              <controlPr defaultSize="0" print="0" autoFill="0" autoPict="0" macro="[0]!Button10_Click_Frreview_delete">
                <anchor moveWithCells="1">
                  <from>
                    <xdr:col>0</xdr:col>
                    <xdr:colOff>85725</xdr:colOff>
                    <xdr:row>37</xdr:row>
                    <xdr:rowOff>76200</xdr:rowOff>
                  </from>
                  <to>
                    <xdr:col>1</xdr:col>
                    <xdr:colOff>247650</xdr:colOff>
                    <xdr:row>39</xdr:row>
                    <xdr:rowOff>28575</xdr:rowOff>
                  </to>
                </anchor>
              </controlPr>
            </control>
          </mc:Choice>
        </mc:AlternateContent>
        <mc:AlternateContent xmlns:mc="http://schemas.openxmlformats.org/markup-compatibility/2006">
          <mc:Choice Requires="x14">
            <control shapeId="62476" r:id="rId11" name="Button 12">
              <controlPr defaultSize="0" print="0" autoFill="0" autoPict="0" macro="[0]!Button11_Click_Dreview_delete">
                <anchor moveWithCells="1">
                  <from>
                    <xdr:col>0</xdr:col>
                    <xdr:colOff>85725</xdr:colOff>
                    <xdr:row>62</xdr:row>
                    <xdr:rowOff>114300</xdr:rowOff>
                  </from>
                  <to>
                    <xdr:col>1</xdr:col>
                    <xdr:colOff>247650</xdr:colOff>
                    <xdr:row>64</xdr:row>
                    <xdr:rowOff>66675</xdr:rowOff>
                  </to>
                </anchor>
              </controlPr>
            </control>
          </mc:Choice>
        </mc:AlternateContent>
        <mc:AlternateContent xmlns:mc="http://schemas.openxmlformats.org/markup-compatibility/2006">
          <mc:Choice Requires="x14">
            <control shapeId="62477" r:id="rId12" name="Button 13">
              <controlPr defaultSize="0" print="0" autoFill="0" autoPict="0" macro="[0]!Button12_Click_Tcreview_delete">
                <anchor moveWithCells="1">
                  <from>
                    <xdr:col>0</xdr:col>
                    <xdr:colOff>114300</xdr:colOff>
                    <xdr:row>89</xdr:row>
                    <xdr:rowOff>142875</xdr:rowOff>
                  </from>
                  <to>
                    <xdr:col>1</xdr:col>
                    <xdr:colOff>276225</xdr:colOff>
                    <xdr:row>91</xdr:row>
                    <xdr:rowOff>95250</xdr:rowOff>
                  </to>
                </anchor>
              </controlPr>
            </control>
          </mc:Choice>
        </mc:AlternateContent>
        <mc:AlternateContent xmlns:mc="http://schemas.openxmlformats.org/markup-compatibility/2006">
          <mc:Choice Requires="x14">
            <control shapeId="62479" r:id="rId13" name="Button 15">
              <controlPr defaultSize="0" print="0" autoFill="0" autoPict="0" macro="[0]!Button13_Click_Creview_delete">
                <anchor moveWithCells="1">
                  <from>
                    <xdr:col>0</xdr:col>
                    <xdr:colOff>180975</xdr:colOff>
                    <xdr:row>115</xdr:row>
                    <xdr:rowOff>104775</xdr:rowOff>
                  </from>
                  <to>
                    <xdr:col>1</xdr:col>
                    <xdr:colOff>342900</xdr:colOff>
                    <xdr:row>117</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sheetPr>
  <dimension ref="A1:O129"/>
  <sheetViews>
    <sheetView showGridLines="0" zoomScaleNormal="100" workbookViewId="0">
      <selection sqref="A1:N1"/>
    </sheetView>
  </sheetViews>
  <sheetFormatPr defaultRowHeight="12"/>
  <cols>
    <col min="1" max="1" width="12" style="152" customWidth="1"/>
    <col min="2" max="2" width="12.625" style="152" customWidth="1"/>
    <col min="3" max="3" width="12" style="152" customWidth="1"/>
    <col min="4" max="4" width="10.125" style="152" customWidth="1"/>
    <col min="5" max="5" width="11.375" style="152" customWidth="1"/>
    <col min="6" max="6" width="12.875" style="152" customWidth="1"/>
    <col min="7" max="7" width="9.25" style="152" customWidth="1"/>
    <col min="8" max="8" width="8.875" style="152" customWidth="1"/>
    <col min="9" max="9" width="10" style="152" customWidth="1"/>
    <col min="10" max="10" width="9.875" style="152" customWidth="1"/>
    <col min="11" max="11" width="10.5" style="152" customWidth="1"/>
    <col min="12" max="12" width="10.75" style="152" customWidth="1"/>
    <col min="13" max="13" width="9" style="152" customWidth="1"/>
    <col min="14" max="14" width="9.625" style="152" customWidth="1"/>
    <col min="15" max="15" width="16.25" style="152" customWidth="1"/>
    <col min="16" max="256" width="9" style="152"/>
    <col min="257" max="257" width="12" style="152" customWidth="1"/>
    <col min="258" max="258" width="17.25" style="152" customWidth="1"/>
    <col min="259" max="259" width="8.75" style="152" customWidth="1"/>
    <col min="260" max="260" width="8.375" style="152" customWidth="1"/>
    <col min="261" max="261" width="10.375" style="152" customWidth="1"/>
    <col min="262" max="262" width="9.125" style="152" customWidth="1"/>
    <col min="263" max="263" width="9.25" style="152" customWidth="1"/>
    <col min="264" max="264" width="8.875" style="152" customWidth="1"/>
    <col min="265" max="265" width="10" style="152" customWidth="1"/>
    <col min="266" max="266" width="9.875" style="152" customWidth="1"/>
    <col min="267" max="267" width="9" style="152" customWidth="1"/>
    <col min="268" max="268" width="10.75" style="152" customWidth="1"/>
    <col min="269" max="269" width="9" style="152" customWidth="1"/>
    <col min="270" max="270" width="9.625" style="152" customWidth="1"/>
    <col min="271" max="271" width="16.25" style="152" customWidth="1"/>
    <col min="272" max="512" width="9" style="152"/>
    <col min="513" max="513" width="12" style="152" customWidth="1"/>
    <col min="514" max="514" width="17.25" style="152" customWidth="1"/>
    <col min="515" max="515" width="8.75" style="152" customWidth="1"/>
    <col min="516" max="516" width="8.375" style="152" customWidth="1"/>
    <col min="517" max="517" width="10.375" style="152" customWidth="1"/>
    <col min="518" max="518" width="9.125" style="152" customWidth="1"/>
    <col min="519" max="519" width="9.25" style="152" customWidth="1"/>
    <col min="520" max="520" width="8.875" style="152" customWidth="1"/>
    <col min="521" max="521" width="10" style="152" customWidth="1"/>
    <col min="522" max="522" width="9.875" style="152" customWidth="1"/>
    <col min="523" max="523" width="9" style="152" customWidth="1"/>
    <col min="524" max="524" width="10.75" style="152" customWidth="1"/>
    <col min="525" max="525" width="9" style="152" customWidth="1"/>
    <col min="526" max="526" width="9.625" style="152" customWidth="1"/>
    <col min="527" max="527" width="16.25" style="152" customWidth="1"/>
    <col min="528" max="768" width="9" style="152"/>
    <col min="769" max="769" width="12" style="152" customWidth="1"/>
    <col min="770" max="770" width="17.25" style="152" customWidth="1"/>
    <col min="771" max="771" width="8.75" style="152" customWidth="1"/>
    <col min="772" max="772" width="8.375" style="152" customWidth="1"/>
    <col min="773" max="773" width="10.375" style="152" customWidth="1"/>
    <col min="774" max="774" width="9.125" style="152" customWidth="1"/>
    <col min="775" max="775" width="9.25" style="152" customWidth="1"/>
    <col min="776" max="776" width="8.875" style="152" customWidth="1"/>
    <col min="777" max="777" width="10" style="152" customWidth="1"/>
    <col min="778" max="778" width="9.875" style="152" customWidth="1"/>
    <col min="779" max="779" width="9" style="152" customWidth="1"/>
    <col min="780" max="780" width="10.75" style="152" customWidth="1"/>
    <col min="781" max="781" width="9" style="152" customWidth="1"/>
    <col min="782" max="782" width="9.625" style="152" customWidth="1"/>
    <col min="783" max="783" width="16.25" style="152" customWidth="1"/>
    <col min="784" max="1024" width="9" style="152"/>
    <col min="1025" max="1025" width="12" style="152" customWidth="1"/>
    <col min="1026" max="1026" width="17.25" style="152" customWidth="1"/>
    <col min="1027" max="1027" width="8.75" style="152" customWidth="1"/>
    <col min="1028" max="1028" width="8.375" style="152" customWidth="1"/>
    <col min="1029" max="1029" width="10.375" style="152" customWidth="1"/>
    <col min="1030" max="1030" width="9.125" style="152" customWidth="1"/>
    <col min="1031" max="1031" width="9.25" style="152" customWidth="1"/>
    <col min="1032" max="1032" width="8.875" style="152" customWidth="1"/>
    <col min="1033" max="1033" width="10" style="152" customWidth="1"/>
    <col min="1034" max="1034" width="9.875" style="152" customWidth="1"/>
    <col min="1035" max="1035" width="9" style="152" customWidth="1"/>
    <col min="1036" max="1036" width="10.75" style="152" customWidth="1"/>
    <col min="1037" max="1037" width="9" style="152" customWidth="1"/>
    <col min="1038" max="1038" width="9.625" style="152" customWidth="1"/>
    <col min="1039" max="1039" width="16.25" style="152" customWidth="1"/>
    <col min="1040" max="1280" width="9" style="152"/>
    <col min="1281" max="1281" width="12" style="152" customWidth="1"/>
    <col min="1282" max="1282" width="17.25" style="152" customWidth="1"/>
    <col min="1283" max="1283" width="8.75" style="152" customWidth="1"/>
    <col min="1284" max="1284" width="8.375" style="152" customWidth="1"/>
    <col min="1285" max="1285" width="10.375" style="152" customWidth="1"/>
    <col min="1286" max="1286" width="9.125" style="152" customWidth="1"/>
    <col min="1287" max="1287" width="9.25" style="152" customWidth="1"/>
    <col min="1288" max="1288" width="8.875" style="152" customWidth="1"/>
    <col min="1289" max="1289" width="10" style="152" customWidth="1"/>
    <col min="1290" max="1290" width="9.875" style="152" customWidth="1"/>
    <col min="1291" max="1291" width="9" style="152" customWidth="1"/>
    <col min="1292" max="1292" width="10.75" style="152" customWidth="1"/>
    <col min="1293" max="1293" width="9" style="152" customWidth="1"/>
    <col min="1294" max="1294" width="9.625" style="152" customWidth="1"/>
    <col min="1295" max="1295" width="16.25" style="152" customWidth="1"/>
    <col min="1296" max="1536" width="9" style="152"/>
    <col min="1537" max="1537" width="12" style="152" customWidth="1"/>
    <col min="1538" max="1538" width="17.25" style="152" customWidth="1"/>
    <col min="1539" max="1539" width="8.75" style="152" customWidth="1"/>
    <col min="1540" max="1540" width="8.375" style="152" customWidth="1"/>
    <col min="1541" max="1541" width="10.375" style="152" customWidth="1"/>
    <col min="1542" max="1542" width="9.125" style="152" customWidth="1"/>
    <col min="1543" max="1543" width="9.25" style="152" customWidth="1"/>
    <col min="1544" max="1544" width="8.875" style="152" customWidth="1"/>
    <col min="1545" max="1545" width="10" style="152" customWidth="1"/>
    <col min="1546" max="1546" width="9.875" style="152" customWidth="1"/>
    <col min="1547" max="1547" width="9" style="152" customWidth="1"/>
    <col min="1548" max="1548" width="10.75" style="152" customWidth="1"/>
    <col min="1549" max="1549" width="9" style="152" customWidth="1"/>
    <col min="1550" max="1550" width="9.625" style="152" customWidth="1"/>
    <col min="1551" max="1551" width="16.25" style="152" customWidth="1"/>
    <col min="1552" max="1792" width="9" style="152"/>
    <col min="1793" max="1793" width="12" style="152" customWidth="1"/>
    <col min="1794" max="1794" width="17.25" style="152" customWidth="1"/>
    <col min="1795" max="1795" width="8.75" style="152" customWidth="1"/>
    <col min="1796" max="1796" width="8.375" style="152" customWidth="1"/>
    <col min="1797" max="1797" width="10.375" style="152" customWidth="1"/>
    <col min="1798" max="1798" width="9.125" style="152" customWidth="1"/>
    <col min="1799" max="1799" width="9.25" style="152" customWidth="1"/>
    <col min="1800" max="1800" width="8.875" style="152" customWidth="1"/>
    <col min="1801" max="1801" width="10" style="152" customWidth="1"/>
    <col min="1802" max="1802" width="9.875" style="152" customWidth="1"/>
    <col min="1803" max="1803" width="9" style="152" customWidth="1"/>
    <col min="1804" max="1804" width="10.75" style="152" customWidth="1"/>
    <col min="1805" max="1805" width="9" style="152" customWidth="1"/>
    <col min="1806" max="1806" width="9.625" style="152" customWidth="1"/>
    <col min="1807" max="1807" width="16.25" style="152" customWidth="1"/>
    <col min="1808" max="2048" width="9" style="152"/>
    <col min="2049" max="2049" width="12" style="152" customWidth="1"/>
    <col min="2050" max="2050" width="17.25" style="152" customWidth="1"/>
    <col min="2051" max="2051" width="8.75" style="152" customWidth="1"/>
    <col min="2052" max="2052" width="8.375" style="152" customWidth="1"/>
    <col min="2053" max="2053" width="10.375" style="152" customWidth="1"/>
    <col min="2054" max="2054" width="9.125" style="152" customWidth="1"/>
    <col min="2055" max="2055" width="9.25" style="152" customWidth="1"/>
    <col min="2056" max="2056" width="8.875" style="152" customWidth="1"/>
    <col min="2057" max="2057" width="10" style="152" customWidth="1"/>
    <col min="2058" max="2058" width="9.875" style="152" customWidth="1"/>
    <col min="2059" max="2059" width="9" style="152" customWidth="1"/>
    <col min="2060" max="2060" width="10.75" style="152" customWidth="1"/>
    <col min="2061" max="2061" width="9" style="152" customWidth="1"/>
    <col min="2062" max="2062" width="9.625" style="152" customWidth="1"/>
    <col min="2063" max="2063" width="16.25" style="152" customWidth="1"/>
    <col min="2064" max="2304" width="9" style="152"/>
    <col min="2305" max="2305" width="12" style="152" customWidth="1"/>
    <col min="2306" max="2306" width="17.25" style="152" customWidth="1"/>
    <col min="2307" max="2307" width="8.75" style="152" customWidth="1"/>
    <col min="2308" max="2308" width="8.375" style="152" customWidth="1"/>
    <col min="2309" max="2309" width="10.375" style="152" customWidth="1"/>
    <col min="2310" max="2310" width="9.125" style="152" customWidth="1"/>
    <col min="2311" max="2311" width="9.25" style="152" customWidth="1"/>
    <col min="2312" max="2312" width="8.875" style="152" customWidth="1"/>
    <col min="2313" max="2313" width="10" style="152" customWidth="1"/>
    <col min="2314" max="2314" width="9.875" style="152" customWidth="1"/>
    <col min="2315" max="2315" width="9" style="152" customWidth="1"/>
    <col min="2316" max="2316" width="10.75" style="152" customWidth="1"/>
    <col min="2317" max="2317" width="9" style="152" customWidth="1"/>
    <col min="2318" max="2318" width="9.625" style="152" customWidth="1"/>
    <col min="2319" max="2319" width="16.25" style="152" customWidth="1"/>
    <col min="2320" max="2560" width="9" style="152"/>
    <col min="2561" max="2561" width="12" style="152" customWidth="1"/>
    <col min="2562" max="2562" width="17.25" style="152" customWidth="1"/>
    <col min="2563" max="2563" width="8.75" style="152" customWidth="1"/>
    <col min="2564" max="2564" width="8.375" style="152" customWidth="1"/>
    <col min="2565" max="2565" width="10.375" style="152" customWidth="1"/>
    <col min="2566" max="2566" width="9.125" style="152" customWidth="1"/>
    <col min="2567" max="2567" width="9.25" style="152" customWidth="1"/>
    <col min="2568" max="2568" width="8.875" style="152" customWidth="1"/>
    <col min="2569" max="2569" width="10" style="152" customWidth="1"/>
    <col min="2570" max="2570" width="9.875" style="152" customWidth="1"/>
    <col min="2571" max="2571" width="9" style="152" customWidth="1"/>
    <col min="2572" max="2572" width="10.75" style="152" customWidth="1"/>
    <col min="2573" max="2573" width="9" style="152" customWidth="1"/>
    <col min="2574" max="2574" width="9.625" style="152" customWidth="1"/>
    <col min="2575" max="2575" width="16.25" style="152" customWidth="1"/>
    <col min="2576" max="2816" width="9" style="152"/>
    <col min="2817" max="2817" width="12" style="152" customWidth="1"/>
    <col min="2818" max="2818" width="17.25" style="152" customWidth="1"/>
    <col min="2819" max="2819" width="8.75" style="152" customWidth="1"/>
    <col min="2820" max="2820" width="8.375" style="152" customWidth="1"/>
    <col min="2821" max="2821" width="10.375" style="152" customWidth="1"/>
    <col min="2822" max="2822" width="9.125" style="152" customWidth="1"/>
    <col min="2823" max="2823" width="9.25" style="152" customWidth="1"/>
    <col min="2824" max="2824" width="8.875" style="152" customWidth="1"/>
    <col min="2825" max="2825" width="10" style="152" customWidth="1"/>
    <col min="2826" max="2826" width="9.875" style="152" customWidth="1"/>
    <col min="2827" max="2827" width="9" style="152" customWidth="1"/>
    <col min="2828" max="2828" width="10.75" style="152" customWidth="1"/>
    <col min="2829" max="2829" width="9" style="152" customWidth="1"/>
    <col min="2830" max="2830" width="9.625" style="152" customWidth="1"/>
    <col min="2831" max="2831" width="16.25" style="152" customWidth="1"/>
    <col min="2832" max="3072" width="9" style="152"/>
    <col min="3073" max="3073" width="12" style="152" customWidth="1"/>
    <col min="3074" max="3074" width="17.25" style="152" customWidth="1"/>
    <col min="3075" max="3075" width="8.75" style="152" customWidth="1"/>
    <col min="3076" max="3076" width="8.375" style="152" customWidth="1"/>
    <col min="3077" max="3077" width="10.375" style="152" customWidth="1"/>
    <col min="3078" max="3078" width="9.125" style="152" customWidth="1"/>
    <col min="3079" max="3079" width="9.25" style="152" customWidth="1"/>
    <col min="3080" max="3080" width="8.875" style="152" customWidth="1"/>
    <col min="3081" max="3081" width="10" style="152" customWidth="1"/>
    <col min="3082" max="3082" width="9.875" style="152" customWidth="1"/>
    <col min="3083" max="3083" width="9" style="152" customWidth="1"/>
    <col min="3084" max="3084" width="10.75" style="152" customWidth="1"/>
    <col min="3085" max="3085" width="9" style="152" customWidth="1"/>
    <col min="3086" max="3086" width="9.625" style="152" customWidth="1"/>
    <col min="3087" max="3087" width="16.25" style="152" customWidth="1"/>
    <col min="3088" max="3328" width="9" style="152"/>
    <col min="3329" max="3329" width="12" style="152" customWidth="1"/>
    <col min="3330" max="3330" width="17.25" style="152" customWidth="1"/>
    <col min="3331" max="3331" width="8.75" style="152" customWidth="1"/>
    <col min="3332" max="3332" width="8.375" style="152" customWidth="1"/>
    <col min="3333" max="3333" width="10.375" style="152" customWidth="1"/>
    <col min="3334" max="3334" width="9.125" style="152" customWidth="1"/>
    <col min="3335" max="3335" width="9.25" style="152" customWidth="1"/>
    <col min="3336" max="3336" width="8.875" style="152" customWidth="1"/>
    <col min="3337" max="3337" width="10" style="152" customWidth="1"/>
    <col min="3338" max="3338" width="9.875" style="152" customWidth="1"/>
    <col min="3339" max="3339" width="9" style="152" customWidth="1"/>
    <col min="3340" max="3340" width="10.75" style="152" customWidth="1"/>
    <col min="3341" max="3341" width="9" style="152" customWidth="1"/>
    <col min="3342" max="3342" width="9.625" style="152" customWidth="1"/>
    <col min="3343" max="3343" width="16.25" style="152" customWidth="1"/>
    <col min="3344" max="3584" width="9" style="152"/>
    <col min="3585" max="3585" width="12" style="152" customWidth="1"/>
    <col min="3586" max="3586" width="17.25" style="152" customWidth="1"/>
    <col min="3587" max="3587" width="8.75" style="152" customWidth="1"/>
    <col min="3588" max="3588" width="8.375" style="152" customWidth="1"/>
    <col min="3589" max="3589" width="10.375" style="152" customWidth="1"/>
    <col min="3590" max="3590" width="9.125" style="152" customWidth="1"/>
    <col min="3591" max="3591" width="9.25" style="152" customWidth="1"/>
    <col min="3592" max="3592" width="8.875" style="152" customWidth="1"/>
    <col min="3593" max="3593" width="10" style="152" customWidth="1"/>
    <col min="3594" max="3594" width="9.875" style="152" customWidth="1"/>
    <col min="3595" max="3595" width="9" style="152" customWidth="1"/>
    <col min="3596" max="3596" width="10.75" style="152" customWidth="1"/>
    <col min="3597" max="3597" width="9" style="152" customWidth="1"/>
    <col min="3598" max="3598" width="9.625" style="152" customWidth="1"/>
    <col min="3599" max="3599" width="16.25" style="152" customWidth="1"/>
    <col min="3600" max="3840" width="9" style="152"/>
    <col min="3841" max="3841" width="12" style="152" customWidth="1"/>
    <col min="3842" max="3842" width="17.25" style="152" customWidth="1"/>
    <col min="3843" max="3843" width="8.75" style="152" customWidth="1"/>
    <col min="3844" max="3844" width="8.375" style="152" customWidth="1"/>
    <col min="3845" max="3845" width="10.375" style="152" customWidth="1"/>
    <col min="3846" max="3846" width="9.125" style="152" customWidth="1"/>
    <col min="3847" max="3847" width="9.25" style="152" customWidth="1"/>
    <col min="3848" max="3848" width="8.875" style="152" customWidth="1"/>
    <col min="3849" max="3849" width="10" style="152" customWidth="1"/>
    <col min="3850" max="3850" width="9.875" style="152" customWidth="1"/>
    <col min="3851" max="3851" width="9" style="152" customWidth="1"/>
    <col min="3852" max="3852" width="10.75" style="152" customWidth="1"/>
    <col min="3853" max="3853" width="9" style="152" customWidth="1"/>
    <col min="3854" max="3854" width="9.625" style="152" customWidth="1"/>
    <col min="3855" max="3855" width="16.25" style="152" customWidth="1"/>
    <col min="3856" max="4096" width="9" style="152"/>
    <col min="4097" max="4097" width="12" style="152" customWidth="1"/>
    <col min="4098" max="4098" width="17.25" style="152" customWidth="1"/>
    <col min="4099" max="4099" width="8.75" style="152" customWidth="1"/>
    <col min="4100" max="4100" width="8.375" style="152" customWidth="1"/>
    <col min="4101" max="4101" width="10.375" style="152" customWidth="1"/>
    <col min="4102" max="4102" width="9.125" style="152" customWidth="1"/>
    <col min="4103" max="4103" width="9.25" style="152" customWidth="1"/>
    <col min="4104" max="4104" width="8.875" style="152" customWidth="1"/>
    <col min="4105" max="4105" width="10" style="152" customWidth="1"/>
    <col min="4106" max="4106" width="9.875" style="152" customWidth="1"/>
    <col min="4107" max="4107" width="9" style="152" customWidth="1"/>
    <col min="4108" max="4108" width="10.75" style="152" customWidth="1"/>
    <col min="4109" max="4109" width="9" style="152" customWidth="1"/>
    <col min="4110" max="4110" width="9.625" style="152" customWidth="1"/>
    <col min="4111" max="4111" width="16.25" style="152" customWidth="1"/>
    <col min="4112" max="4352" width="9" style="152"/>
    <col min="4353" max="4353" width="12" style="152" customWidth="1"/>
    <col min="4354" max="4354" width="17.25" style="152" customWidth="1"/>
    <col min="4355" max="4355" width="8.75" style="152" customWidth="1"/>
    <col min="4356" max="4356" width="8.375" style="152" customWidth="1"/>
    <col min="4357" max="4357" width="10.375" style="152" customWidth="1"/>
    <col min="4358" max="4358" width="9.125" style="152" customWidth="1"/>
    <col min="4359" max="4359" width="9.25" style="152" customWidth="1"/>
    <col min="4360" max="4360" width="8.875" style="152" customWidth="1"/>
    <col min="4361" max="4361" width="10" style="152" customWidth="1"/>
    <col min="4362" max="4362" width="9.875" style="152" customWidth="1"/>
    <col min="4363" max="4363" width="9" style="152" customWidth="1"/>
    <col min="4364" max="4364" width="10.75" style="152" customWidth="1"/>
    <col min="4365" max="4365" width="9" style="152" customWidth="1"/>
    <col min="4366" max="4366" width="9.625" style="152" customWidth="1"/>
    <col min="4367" max="4367" width="16.25" style="152" customWidth="1"/>
    <col min="4368" max="4608" width="9" style="152"/>
    <col min="4609" max="4609" width="12" style="152" customWidth="1"/>
    <col min="4610" max="4610" width="17.25" style="152" customWidth="1"/>
    <col min="4611" max="4611" width="8.75" style="152" customWidth="1"/>
    <col min="4612" max="4612" width="8.375" style="152" customWidth="1"/>
    <col min="4613" max="4613" width="10.375" style="152" customWidth="1"/>
    <col min="4614" max="4614" width="9.125" style="152" customWidth="1"/>
    <col min="4615" max="4615" width="9.25" style="152" customWidth="1"/>
    <col min="4616" max="4616" width="8.875" style="152" customWidth="1"/>
    <col min="4617" max="4617" width="10" style="152" customWidth="1"/>
    <col min="4618" max="4618" width="9.875" style="152" customWidth="1"/>
    <col min="4619" max="4619" width="9" style="152" customWidth="1"/>
    <col min="4620" max="4620" width="10.75" style="152" customWidth="1"/>
    <col min="4621" max="4621" width="9" style="152" customWidth="1"/>
    <col min="4622" max="4622" width="9.625" style="152" customWidth="1"/>
    <col min="4623" max="4623" width="16.25" style="152" customWidth="1"/>
    <col min="4624" max="4864" width="9" style="152"/>
    <col min="4865" max="4865" width="12" style="152" customWidth="1"/>
    <col min="4866" max="4866" width="17.25" style="152" customWidth="1"/>
    <col min="4867" max="4867" width="8.75" style="152" customWidth="1"/>
    <col min="4868" max="4868" width="8.375" style="152" customWidth="1"/>
    <col min="4869" max="4869" width="10.375" style="152" customWidth="1"/>
    <col min="4870" max="4870" width="9.125" style="152" customWidth="1"/>
    <col min="4871" max="4871" width="9.25" style="152" customWidth="1"/>
    <col min="4872" max="4872" width="8.875" style="152" customWidth="1"/>
    <col min="4873" max="4873" width="10" style="152" customWidth="1"/>
    <col min="4874" max="4874" width="9.875" style="152" customWidth="1"/>
    <col min="4875" max="4875" width="9" style="152" customWidth="1"/>
    <col min="4876" max="4876" width="10.75" style="152" customWidth="1"/>
    <col min="4877" max="4877" width="9" style="152" customWidth="1"/>
    <col min="4878" max="4878" width="9.625" style="152" customWidth="1"/>
    <col min="4879" max="4879" width="16.25" style="152" customWidth="1"/>
    <col min="4880" max="5120" width="9" style="152"/>
    <col min="5121" max="5121" width="12" style="152" customWidth="1"/>
    <col min="5122" max="5122" width="17.25" style="152" customWidth="1"/>
    <col min="5123" max="5123" width="8.75" style="152" customWidth="1"/>
    <col min="5124" max="5124" width="8.375" style="152" customWidth="1"/>
    <col min="5125" max="5125" width="10.375" style="152" customWidth="1"/>
    <col min="5126" max="5126" width="9.125" style="152" customWidth="1"/>
    <col min="5127" max="5127" width="9.25" style="152" customWidth="1"/>
    <col min="5128" max="5128" width="8.875" style="152" customWidth="1"/>
    <col min="5129" max="5129" width="10" style="152" customWidth="1"/>
    <col min="5130" max="5130" width="9.875" style="152" customWidth="1"/>
    <col min="5131" max="5131" width="9" style="152" customWidth="1"/>
    <col min="5132" max="5132" width="10.75" style="152" customWidth="1"/>
    <col min="5133" max="5133" width="9" style="152" customWidth="1"/>
    <col min="5134" max="5134" width="9.625" style="152" customWidth="1"/>
    <col min="5135" max="5135" width="16.25" style="152" customWidth="1"/>
    <col min="5136" max="5376" width="9" style="152"/>
    <col min="5377" max="5377" width="12" style="152" customWidth="1"/>
    <col min="5378" max="5378" width="17.25" style="152" customWidth="1"/>
    <col min="5379" max="5379" width="8.75" style="152" customWidth="1"/>
    <col min="5380" max="5380" width="8.375" style="152" customWidth="1"/>
    <col min="5381" max="5381" width="10.375" style="152" customWidth="1"/>
    <col min="5382" max="5382" width="9.125" style="152" customWidth="1"/>
    <col min="5383" max="5383" width="9.25" style="152" customWidth="1"/>
    <col min="5384" max="5384" width="8.875" style="152" customWidth="1"/>
    <col min="5385" max="5385" width="10" style="152" customWidth="1"/>
    <col min="5386" max="5386" width="9.875" style="152" customWidth="1"/>
    <col min="5387" max="5387" width="9" style="152" customWidth="1"/>
    <col min="5388" max="5388" width="10.75" style="152" customWidth="1"/>
    <col min="5389" max="5389" width="9" style="152" customWidth="1"/>
    <col min="5390" max="5390" width="9.625" style="152" customWidth="1"/>
    <col min="5391" max="5391" width="16.25" style="152" customWidth="1"/>
    <col min="5392" max="5632" width="9" style="152"/>
    <col min="5633" max="5633" width="12" style="152" customWidth="1"/>
    <col min="5634" max="5634" width="17.25" style="152" customWidth="1"/>
    <col min="5635" max="5635" width="8.75" style="152" customWidth="1"/>
    <col min="5636" max="5636" width="8.375" style="152" customWidth="1"/>
    <col min="5637" max="5637" width="10.375" style="152" customWidth="1"/>
    <col min="5638" max="5638" width="9.125" style="152" customWidth="1"/>
    <col min="5639" max="5639" width="9.25" style="152" customWidth="1"/>
    <col min="5640" max="5640" width="8.875" style="152" customWidth="1"/>
    <col min="5641" max="5641" width="10" style="152" customWidth="1"/>
    <col min="5642" max="5642" width="9.875" style="152" customWidth="1"/>
    <col min="5643" max="5643" width="9" style="152" customWidth="1"/>
    <col min="5644" max="5644" width="10.75" style="152" customWidth="1"/>
    <col min="5645" max="5645" width="9" style="152" customWidth="1"/>
    <col min="5646" max="5646" width="9.625" style="152" customWidth="1"/>
    <col min="5647" max="5647" width="16.25" style="152" customWidth="1"/>
    <col min="5648" max="5888" width="9" style="152"/>
    <col min="5889" max="5889" width="12" style="152" customWidth="1"/>
    <col min="5890" max="5890" width="17.25" style="152" customWidth="1"/>
    <col min="5891" max="5891" width="8.75" style="152" customWidth="1"/>
    <col min="5892" max="5892" width="8.375" style="152" customWidth="1"/>
    <col min="5893" max="5893" width="10.375" style="152" customWidth="1"/>
    <col min="5894" max="5894" width="9.125" style="152" customWidth="1"/>
    <col min="5895" max="5895" width="9.25" style="152" customWidth="1"/>
    <col min="5896" max="5896" width="8.875" style="152" customWidth="1"/>
    <col min="5897" max="5897" width="10" style="152" customWidth="1"/>
    <col min="5898" max="5898" width="9.875" style="152" customWidth="1"/>
    <col min="5899" max="5899" width="9" style="152" customWidth="1"/>
    <col min="5900" max="5900" width="10.75" style="152" customWidth="1"/>
    <col min="5901" max="5901" width="9" style="152" customWidth="1"/>
    <col min="5902" max="5902" width="9.625" style="152" customWidth="1"/>
    <col min="5903" max="5903" width="16.25" style="152" customWidth="1"/>
    <col min="5904" max="6144" width="9" style="152"/>
    <col min="6145" max="6145" width="12" style="152" customWidth="1"/>
    <col min="6146" max="6146" width="17.25" style="152" customWidth="1"/>
    <col min="6147" max="6147" width="8.75" style="152" customWidth="1"/>
    <col min="6148" max="6148" width="8.375" style="152" customWidth="1"/>
    <col min="6149" max="6149" width="10.375" style="152" customWidth="1"/>
    <col min="6150" max="6150" width="9.125" style="152" customWidth="1"/>
    <col min="6151" max="6151" width="9.25" style="152" customWidth="1"/>
    <col min="6152" max="6152" width="8.875" style="152" customWidth="1"/>
    <col min="6153" max="6153" width="10" style="152" customWidth="1"/>
    <col min="6154" max="6154" width="9.875" style="152" customWidth="1"/>
    <col min="6155" max="6155" width="9" style="152" customWidth="1"/>
    <col min="6156" max="6156" width="10.75" style="152" customWidth="1"/>
    <col min="6157" max="6157" width="9" style="152" customWidth="1"/>
    <col min="6158" max="6158" width="9.625" style="152" customWidth="1"/>
    <col min="6159" max="6159" width="16.25" style="152" customWidth="1"/>
    <col min="6160" max="6400" width="9" style="152"/>
    <col min="6401" max="6401" width="12" style="152" customWidth="1"/>
    <col min="6402" max="6402" width="17.25" style="152" customWidth="1"/>
    <col min="6403" max="6403" width="8.75" style="152" customWidth="1"/>
    <col min="6404" max="6404" width="8.375" style="152" customWidth="1"/>
    <col min="6405" max="6405" width="10.375" style="152" customWidth="1"/>
    <col min="6406" max="6406" width="9.125" style="152" customWidth="1"/>
    <col min="6407" max="6407" width="9.25" style="152" customWidth="1"/>
    <col min="6408" max="6408" width="8.875" style="152" customWidth="1"/>
    <col min="6409" max="6409" width="10" style="152" customWidth="1"/>
    <col min="6410" max="6410" width="9.875" style="152" customWidth="1"/>
    <col min="6411" max="6411" width="9" style="152" customWidth="1"/>
    <col min="6412" max="6412" width="10.75" style="152" customWidth="1"/>
    <col min="6413" max="6413" width="9" style="152" customWidth="1"/>
    <col min="6414" max="6414" width="9.625" style="152" customWidth="1"/>
    <col min="6415" max="6415" width="16.25" style="152" customWidth="1"/>
    <col min="6416" max="6656" width="9" style="152"/>
    <col min="6657" max="6657" width="12" style="152" customWidth="1"/>
    <col min="6658" max="6658" width="17.25" style="152" customWidth="1"/>
    <col min="6659" max="6659" width="8.75" style="152" customWidth="1"/>
    <col min="6660" max="6660" width="8.375" style="152" customWidth="1"/>
    <col min="6661" max="6661" width="10.375" style="152" customWidth="1"/>
    <col min="6662" max="6662" width="9.125" style="152" customWidth="1"/>
    <col min="6663" max="6663" width="9.25" style="152" customWidth="1"/>
    <col min="6664" max="6664" width="8.875" style="152" customWidth="1"/>
    <col min="6665" max="6665" width="10" style="152" customWidth="1"/>
    <col min="6666" max="6666" width="9.875" style="152" customWidth="1"/>
    <col min="6667" max="6667" width="9" style="152" customWidth="1"/>
    <col min="6668" max="6668" width="10.75" style="152" customWidth="1"/>
    <col min="6669" max="6669" width="9" style="152" customWidth="1"/>
    <col min="6670" max="6670" width="9.625" style="152" customWidth="1"/>
    <col min="6671" max="6671" width="16.25" style="152" customWidth="1"/>
    <col min="6672" max="6912" width="9" style="152"/>
    <col min="6913" max="6913" width="12" style="152" customWidth="1"/>
    <col min="6914" max="6914" width="17.25" style="152" customWidth="1"/>
    <col min="6915" max="6915" width="8.75" style="152" customWidth="1"/>
    <col min="6916" max="6916" width="8.375" style="152" customWidth="1"/>
    <col min="6917" max="6917" width="10.375" style="152" customWidth="1"/>
    <col min="6918" max="6918" width="9.125" style="152" customWidth="1"/>
    <col min="6919" max="6919" width="9.25" style="152" customWidth="1"/>
    <col min="6920" max="6920" width="8.875" style="152" customWidth="1"/>
    <col min="6921" max="6921" width="10" style="152" customWidth="1"/>
    <col min="6922" max="6922" width="9.875" style="152" customWidth="1"/>
    <col min="6923" max="6923" width="9" style="152" customWidth="1"/>
    <col min="6924" max="6924" width="10.75" style="152" customWidth="1"/>
    <col min="6925" max="6925" width="9" style="152" customWidth="1"/>
    <col min="6926" max="6926" width="9.625" style="152" customWidth="1"/>
    <col min="6927" max="6927" width="16.25" style="152" customWidth="1"/>
    <col min="6928" max="7168" width="9" style="152"/>
    <col min="7169" max="7169" width="12" style="152" customWidth="1"/>
    <col min="7170" max="7170" width="17.25" style="152" customWidth="1"/>
    <col min="7171" max="7171" width="8.75" style="152" customWidth="1"/>
    <col min="7172" max="7172" width="8.375" style="152" customWidth="1"/>
    <col min="7173" max="7173" width="10.375" style="152" customWidth="1"/>
    <col min="7174" max="7174" width="9.125" style="152" customWidth="1"/>
    <col min="7175" max="7175" width="9.25" style="152" customWidth="1"/>
    <col min="7176" max="7176" width="8.875" style="152" customWidth="1"/>
    <col min="7177" max="7177" width="10" style="152" customWidth="1"/>
    <col min="7178" max="7178" width="9.875" style="152" customWidth="1"/>
    <col min="7179" max="7179" width="9" style="152" customWidth="1"/>
    <col min="7180" max="7180" width="10.75" style="152" customWidth="1"/>
    <col min="7181" max="7181" width="9" style="152" customWidth="1"/>
    <col min="7182" max="7182" width="9.625" style="152" customWidth="1"/>
    <col min="7183" max="7183" width="16.25" style="152" customWidth="1"/>
    <col min="7184" max="7424" width="9" style="152"/>
    <col min="7425" max="7425" width="12" style="152" customWidth="1"/>
    <col min="7426" max="7426" width="17.25" style="152" customWidth="1"/>
    <col min="7427" max="7427" width="8.75" style="152" customWidth="1"/>
    <col min="7428" max="7428" width="8.375" style="152" customWidth="1"/>
    <col min="7429" max="7429" width="10.375" style="152" customWidth="1"/>
    <col min="7430" max="7430" width="9.125" style="152" customWidth="1"/>
    <col min="7431" max="7431" width="9.25" style="152" customWidth="1"/>
    <col min="7432" max="7432" width="8.875" style="152" customWidth="1"/>
    <col min="7433" max="7433" width="10" style="152" customWidth="1"/>
    <col min="7434" max="7434" width="9.875" style="152" customWidth="1"/>
    <col min="7435" max="7435" width="9" style="152" customWidth="1"/>
    <col min="7436" max="7436" width="10.75" style="152" customWidth="1"/>
    <col min="7437" max="7437" width="9" style="152" customWidth="1"/>
    <col min="7438" max="7438" width="9.625" style="152" customWidth="1"/>
    <col min="7439" max="7439" width="16.25" style="152" customWidth="1"/>
    <col min="7440" max="7680" width="9" style="152"/>
    <col min="7681" max="7681" width="12" style="152" customWidth="1"/>
    <col min="7682" max="7682" width="17.25" style="152" customWidth="1"/>
    <col min="7683" max="7683" width="8.75" style="152" customWidth="1"/>
    <col min="7684" max="7684" width="8.375" style="152" customWidth="1"/>
    <col min="7685" max="7685" width="10.375" style="152" customWidth="1"/>
    <col min="7686" max="7686" width="9.125" style="152" customWidth="1"/>
    <col min="7687" max="7687" width="9.25" style="152" customWidth="1"/>
    <col min="7688" max="7688" width="8.875" style="152" customWidth="1"/>
    <col min="7689" max="7689" width="10" style="152" customWidth="1"/>
    <col min="7690" max="7690" width="9.875" style="152" customWidth="1"/>
    <col min="7691" max="7691" width="9" style="152" customWidth="1"/>
    <col min="7692" max="7692" width="10.75" style="152" customWidth="1"/>
    <col min="7693" max="7693" width="9" style="152" customWidth="1"/>
    <col min="7694" max="7694" width="9.625" style="152" customWidth="1"/>
    <col min="7695" max="7695" width="16.25" style="152" customWidth="1"/>
    <col min="7696" max="7936" width="9" style="152"/>
    <col min="7937" max="7937" width="12" style="152" customWidth="1"/>
    <col min="7938" max="7938" width="17.25" style="152" customWidth="1"/>
    <col min="7939" max="7939" width="8.75" style="152" customWidth="1"/>
    <col min="7940" max="7940" width="8.375" style="152" customWidth="1"/>
    <col min="7941" max="7941" width="10.375" style="152" customWidth="1"/>
    <col min="7942" max="7942" width="9.125" style="152" customWidth="1"/>
    <col min="7943" max="7943" width="9.25" style="152" customWidth="1"/>
    <col min="7944" max="7944" width="8.875" style="152" customWidth="1"/>
    <col min="7945" max="7945" width="10" style="152" customWidth="1"/>
    <col min="7946" max="7946" width="9.875" style="152" customWidth="1"/>
    <col min="7947" max="7947" width="9" style="152" customWidth="1"/>
    <col min="7948" max="7948" width="10.75" style="152" customWidth="1"/>
    <col min="7949" max="7949" width="9" style="152" customWidth="1"/>
    <col min="7950" max="7950" width="9.625" style="152" customWidth="1"/>
    <col min="7951" max="7951" width="16.25" style="152" customWidth="1"/>
    <col min="7952" max="8192" width="9" style="152"/>
    <col min="8193" max="8193" width="12" style="152" customWidth="1"/>
    <col min="8194" max="8194" width="17.25" style="152" customWidth="1"/>
    <col min="8195" max="8195" width="8.75" style="152" customWidth="1"/>
    <col min="8196" max="8196" width="8.375" style="152" customWidth="1"/>
    <col min="8197" max="8197" width="10.375" style="152" customWidth="1"/>
    <col min="8198" max="8198" width="9.125" style="152" customWidth="1"/>
    <col min="8199" max="8199" width="9.25" style="152" customWidth="1"/>
    <col min="8200" max="8200" width="8.875" style="152" customWidth="1"/>
    <col min="8201" max="8201" width="10" style="152" customWidth="1"/>
    <col min="8202" max="8202" width="9.875" style="152" customWidth="1"/>
    <col min="8203" max="8203" width="9" style="152" customWidth="1"/>
    <col min="8204" max="8204" width="10.75" style="152" customWidth="1"/>
    <col min="8205" max="8205" width="9" style="152" customWidth="1"/>
    <col min="8206" max="8206" width="9.625" style="152" customWidth="1"/>
    <col min="8207" max="8207" width="16.25" style="152" customWidth="1"/>
    <col min="8208" max="8448" width="9" style="152"/>
    <col min="8449" max="8449" width="12" style="152" customWidth="1"/>
    <col min="8450" max="8450" width="17.25" style="152" customWidth="1"/>
    <col min="8451" max="8451" width="8.75" style="152" customWidth="1"/>
    <col min="8452" max="8452" width="8.375" style="152" customWidth="1"/>
    <col min="8453" max="8453" width="10.375" style="152" customWidth="1"/>
    <col min="8454" max="8454" width="9.125" style="152" customWidth="1"/>
    <col min="8455" max="8455" width="9.25" style="152" customWidth="1"/>
    <col min="8456" max="8456" width="8.875" style="152" customWidth="1"/>
    <col min="8457" max="8457" width="10" style="152" customWidth="1"/>
    <col min="8458" max="8458" width="9.875" style="152" customWidth="1"/>
    <col min="8459" max="8459" width="9" style="152" customWidth="1"/>
    <col min="8460" max="8460" width="10.75" style="152" customWidth="1"/>
    <col min="8461" max="8461" width="9" style="152" customWidth="1"/>
    <col min="8462" max="8462" width="9.625" style="152" customWidth="1"/>
    <col min="8463" max="8463" width="16.25" style="152" customWidth="1"/>
    <col min="8464" max="8704" width="9" style="152"/>
    <col min="8705" max="8705" width="12" style="152" customWidth="1"/>
    <col min="8706" max="8706" width="17.25" style="152" customWidth="1"/>
    <col min="8707" max="8707" width="8.75" style="152" customWidth="1"/>
    <col min="8708" max="8708" width="8.375" style="152" customWidth="1"/>
    <col min="8709" max="8709" width="10.375" style="152" customWidth="1"/>
    <col min="8710" max="8710" width="9.125" style="152" customWidth="1"/>
    <col min="8711" max="8711" width="9.25" style="152" customWidth="1"/>
    <col min="8712" max="8712" width="8.875" style="152" customWidth="1"/>
    <col min="8713" max="8713" width="10" style="152" customWidth="1"/>
    <col min="8714" max="8714" width="9.875" style="152" customWidth="1"/>
    <col min="8715" max="8715" width="9" style="152" customWidth="1"/>
    <col min="8716" max="8716" width="10.75" style="152" customWidth="1"/>
    <col min="8717" max="8717" width="9" style="152" customWidth="1"/>
    <col min="8718" max="8718" width="9.625" style="152" customWidth="1"/>
    <col min="8719" max="8719" width="16.25" style="152" customWidth="1"/>
    <col min="8720" max="8960" width="9" style="152"/>
    <col min="8961" max="8961" width="12" style="152" customWidth="1"/>
    <col min="8962" max="8962" width="17.25" style="152" customWidth="1"/>
    <col min="8963" max="8963" width="8.75" style="152" customWidth="1"/>
    <col min="8964" max="8964" width="8.375" style="152" customWidth="1"/>
    <col min="8965" max="8965" width="10.375" style="152" customWidth="1"/>
    <col min="8966" max="8966" width="9.125" style="152" customWidth="1"/>
    <col min="8967" max="8967" width="9.25" style="152" customWidth="1"/>
    <col min="8968" max="8968" width="8.875" style="152" customWidth="1"/>
    <col min="8969" max="8969" width="10" style="152" customWidth="1"/>
    <col min="8970" max="8970" width="9.875" style="152" customWidth="1"/>
    <col min="8971" max="8971" width="9" style="152" customWidth="1"/>
    <col min="8972" max="8972" width="10.75" style="152" customWidth="1"/>
    <col min="8973" max="8973" width="9" style="152" customWidth="1"/>
    <col min="8974" max="8974" width="9.625" style="152" customWidth="1"/>
    <col min="8975" max="8975" width="16.25" style="152" customWidth="1"/>
    <col min="8976" max="9216" width="9" style="152"/>
    <col min="9217" max="9217" width="12" style="152" customWidth="1"/>
    <col min="9218" max="9218" width="17.25" style="152" customWidth="1"/>
    <col min="9219" max="9219" width="8.75" style="152" customWidth="1"/>
    <col min="9220" max="9220" width="8.375" style="152" customWidth="1"/>
    <col min="9221" max="9221" width="10.375" style="152" customWidth="1"/>
    <col min="9222" max="9222" width="9.125" style="152" customWidth="1"/>
    <col min="9223" max="9223" width="9.25" style="152" customWidth="1"/>
    <col min="9224" max="9224" width="8.875" style="152" customWidth="1"/>
    <col min="9225" max="9225" width="10" style="152" customWidth="1"/>
    <col min="9226" max="9226" width="9.875" style="152" customWidth="1"/>
    <col min="9227" max="9227" width="9" style="152" customWidth="1"/>
    <col min="9228" max="9228" width="10.75" style="152" customWidth="1"/>
    <col min="9229" max="9229" width="9" style="152" customWidth="1"/>
    <col min="9230" max="9230" width="9.625" style="152" customWidth="1"/>
    <col min="9231" max="9231" width="16.25" style="152" customWidth="1"/>
    <col min="9232" max="9472" width="9" style="152"/>
    <col min="9473" max="9473" width="12" style="152" customWidth="1"/>
    <col min="9474" max="9474" width="17.25" style="152" customWidth="1"/>
    <col min="9475" max="9475" width="8.75" style="152" customWidth="1"/>
    <col min="9476" max="9476" width="8.375" style="152" customWidth="1"/>
    <col min="9477" max="9477" width="10.375" style="152" customWidth="1"/>
    <col min="9478" max="9478" width="9.125" style="152" customWidth="1"/>
    <col min="9479" max="9479" width="9.25" style="152" customWidth="1"/>
    <col min="9480" max="9480" width="8.875" style="152" customWidth="1"/>
    <col min="9481" max="9481" width="10" style="152" customWidth="1"/>
    <col min="9482" max="9482" width="9.875" style="152" customWidth="1"/>
    <col min="9483" max="9483" width="9" style="152" customWidth="1"/>
    <col min="9484" max="9484" width="10.75" style="152" customWidth="1"/>
    <col min="9485" max="9485" width="9" style="152" customWidth="1"/>
    <col min="9486" max="9486" width="9.625" style="152" customWidth="1"/>
    <col min="9487" max="9487" width="16.25" style="152" customWidth="1"/>
    <col min="9488" max="9728" width="9" style="152"/>
    <col min="9729" max="9729" width="12" style="152" customWidth="1"/>
    <col min="9730" max="9730" width="17.25" style="152" customWidth="1"/>
    <col min="9731" max="9731" width="8.75" style="152" customWidth="1"/>
    <col min="9732" max="9732" width="8.375" style="152" customWidth="1"/>
    <col min="9733" max="9733" width="10.375" style="152" customWidth="1"/>
    <col min="9734" max="9734" width="9.125" style="152" customWidth="1"/>
    <col min="9735" max="9735" width="9.25" style="152" customWidth="1"/>
    <col min="9736" max="9736" width="8.875" style="152" customWidth="1"/>
    <col min="9737" max="9737" width="10" style="152" customWidth="1"/>
    <col min="9738" max="9738" width="9.875" style="152" customWidth="1"/>
    <col min="9739" max="9739" width="9" style="152" customWidth="1"/>
    <col min="9740" max="9740" width="10.75" style="152" customWidth="1"/>
    <col min="9741" max="9741" width="9" style="152" customWidth="1"/>
    <col min="9742" max="9742" width="9.625" style="152" customWidth="1"/>
    <col min="9743" max="9743" width="16.25" style="152" customWidth="1"/>
    <col min="9744" max="9984" width="9" style="152"/>
    <col min="9985" max="9985" width="12" style="152" customWidth="1"/>
    <col min="9986" max="9986" width="17.25" style="152" customWidth="1"/>
    <col min="9987" max="9987" width="8.75" style="152" customWidth="1"/>
    <col min="9988" max="9988" width="8.375" style="152" customWidth="1"/>
    <col min="9989" max="9989" width="10.375" style="152" customWidth="1"/>
    <col min="9990" max="9990" width="9.125" style="152" customWidth="1"/>
    <col min="9991" max="9991" width="9.25" style="152" customWidth="1"/>
    <col min="9992" max="9992" width="8.875" style="152" customWidth="1"/>
    <col min="9993" max="9993" width="10" style="152" customWidth="1"/>
    <col min="9994" max="9994" width="9.875" style="152" customWidth="1"/>
    <col min="9995" max="9995" width="9" style="152" customWidth="1"/>
    <col min="9996" max="9996" width="10.75" style="152" customWidth="1"/>
    <col min="9997" max="9997" width="9" style="152" customWidth="1"/>
    <col min="9998" max="9998" width="9.625" style="152" customWidth="1"/>
    <col min="9999" max="9999" width="16.25" style="152" customWidth="1"/>
    <col min="10000" max="10240" width="9" style="152"/>
    <col min="10241" max="10241" width="12" style="152" customWidth="1"/>
    <col min="10242" max="10242" width="17.25" style="152" customWidth="1"/>
    <col min="10243" max="10243" width="8.75" style="152" customWidth="1"/>
    <col min="10244" max="10244" width="8.375" style="152" customWidth="1"/>
    <col min="10245" max="10245" width="10.375" style="152" customWidth="1"/>
    <col min="10246" max="10246" width="9.125" style="152" customWidth="1"/>
    <col min="10247" max="10247" width="9.25" style="152" customWidth="1"/>
    <col min="10248" max="10248" width="8.875" style="152" customWidth="1"/>
    <col min="10249" max="10249" width="10" style="152" customWidth="1"/>
    <col min="10250" max="10250" width="9.875" style="152" customWidth="1"/>
    <col min="10251" max="10251" width="9" style="152" customWidth="1"/>
    <col min="10252" max="10252" width="10.75" style="152" customWidth="1"/>
    <col min="10253" max="10253" width="9" style="152" customWidth="1"/>
    <col min="10254" max="10254" width="9.625" style="152" customWidth="1"/>
    <col min="10255" max="10255" width="16.25" style="152" customWidth="1"/>
    <col min="10256" max="10496" width="9" style="152"/>
    <col min="10497" max="10497" width="12" style="152" customWidth="1"/>
    <col min="10498" max="10498" width="17.25" style="152" customWidth="1"/>
    <col min="10499" max="10499" width="8.75" style="152" customWidth="1"/>
    <col min="10500" max="10500" width="8.375" style="152" customWidth="1"/>
    <col min="10501" max="10501" width="10.375" style="152" customWidth="1"/>
    <col min="10502" max="10502" width="9.125" style="152" customWidth="1"/>
    <col min="10503" max="10503" width="9.25" style="152" customWidth="1"/>
    <col min="10504" max="10504" width="8.875" style="152" customWidth="1"/>
    <col min="10505" max="10505" width="10" style="152" customWidth="1"/>
    <col min="10506" max="10506" width="9.875" style="152" customWidth="1"/>
    <col min="10507" max="10507" width="9" style="152" customWidth="1"/>
    <col min="10508" max="10508" width="10.75" style="152" customWidth="1"/>
    <col min="10509" max="10509" width="9" style="152" customWidth="1"/>
    <col min="10510" max="10510" width="9.625" style="152" customWidth="1"/>
    <col min="10511" max="10511" width="16.25" style="152" customWidth="1"/>
    <col min="10512" max="10752" width="9" style="152"/>
    <col min="10753" max="10753" width="12" style="152" customWidth="1"/>
    <col min="10754" max="10754" width="17.25" style="152" customWidth="1"/>
    <col min="10755" max="10755" width="8.75" style="152" customWidth="1"/>
    <col min="10756" max="10756" width="8.375" style="152" customWidth="1"/>
    <col min="10757" max="10757" width="10.375" style="152" customWidth="1"/>
    <col min="10758" max="10758" width="9.125" style="152" customWidth="1"/>
    <col min="10759" max="10759" width="9.25" style="152" customWidth="1"/>
    <col min="10760" max="10760" width="8.875" style="152" customWidth="1"/>
    <col min="10761" max="10761" width="10" style="152" customWidth="1"/>
    <col min="10762" max="10762" width="9.875" style="152" customWidth="1"/>
    <col min="10763" max="10763" width="9" style="152" customWidth="1"/>
    <col min="10764" max="10764" width="10.75" style="152" customWidth="1"/>
    <col min="10765" max="10765" width="9" style="152" customWidth="1"/>
    <col min="10766" max="10766" width="9.625" style="152" customWidth="1"/>
    <col min="10767" max="10767" width="16.25" style="152" customWidth="1"/>
    <col min="10768" max="11008" width="9" style="152"/>
    <col min="11009" max="11009" width="12" style="152" customWidth="1"/>
    <col min="11010" max="11010" width="17.25" style="152" customWidth="1"/>
    <col min="11011" max="11011" width="8.75" style="152" customWidth="1"/>
    <col min="11012" max="11012" width="8.375" style="152" customWidth="1"/>
    <col min="11013" max="11013" width="10.375" style="152" customWidth="1"/>
    <col min="11014" max="11014" width="9.125" style="152" customWidth="1"/>
    <col min="11015" max="11015" width="9.25" style="152" customWidth="1"/>
    <col min="11016" max="11016" width="8.875" style="152" customWidth="1"/>
    <col min="11017" max="11017" width="10" style="152" customWidth="1"/>
    <col min="11018" max="11018" width="9.875" style="152" customWidth="1"/>
    <col min="11019" max="11019" width="9" style="152" customWidth="1"/>
    <col min="11020" max="11020" width="10.75" style="152" customWidth="1"/>
    <col min="11021" max="11021" width="9" style="152" customWidth="1"/>
    <col min="11022" max="11022" width="9.625" style="152" customWidth="1"/>
    <col min="11023" max="11023" width="16.25" style="152" customWidth="1"/>
    <col min="11024" max="11264" width="9" style="152"/>
    <col min="11265" max="11265" width="12" style="152" customWidth="1"/>
    <col min="11266" max="11266" width="17.25" style="152" customWidth="1"/>
    <col min="11267" max="11267" width="8.75" style="152" customWidth="1"/>
    <col min="11268" max="11268" width="8.375" style="152" customWidth="1"/>
    <col min="11269" max="11269" width="10.375" style="152" customWidth="1"/>
    <col min="11270" max="11270" width="9.125" style="152" customWidth="1"/>
    <col min="11271" max="11271" width="9.25" style="152" customWidth="1"/>
    <col min="11272" max="11272" width="8.875" style="152" customWidth="1"/>
    <col min="11273" max="11273" width="10" style="152" customWidth="1"/>
    <col min="11274" max="11274" width="9.875" style="152" customWidth="1"/>
    <col min="11275" max="11275" width="9" style="152" customWidth="1"/>
    <col min="11276" max="11276" width="10.75" style="152" customWidth="1"/>
    <col min="11277" max="11277" width="9" style="152" customWidth="1"/>
    <col min="11278" max="11278" width="9.625" style="152" customWidth="1"/>
    <col min="11279" max="11279" width="16.25" style="152" customWidth="1"/>
    <col min="11280" max="11520" width="9" style="152"/>
    <col min="11521" max="11521" width="12" style="152" customWidth="1"/>
    <col min="11522" max="11522" width="17.25" style="152" customWidth="1"/>
    <col min="11523" max="11523" width="8.75" style="152" customWidth="1"/>
    <col min="11524" max="11524" width="8.375" style="152" customWidth="1"/>
    <col min="11525" max="11525" width="10.375" style="152" customWidth="1"/>
    <col min="11526" max="11526" width="9.125" style="152" customWidth="1"/>
    <col min="11527" max="11527" width="9.25" style="152" customWidth="1"/>
    <col min="11528" max="11528" width="8.875" style="152" customWidth="1"/>
    <col min="11529" max="11529" width="10" style="152" customWidth="1"/>
    <col min="11530" max="11530" width="9.875" style="152" customWidth="1"/>
    <col min="11531" max="11531" width="9" style="152" customWidth="1"/>
    <col min="11532" max="11532" width="10.75" style="152" customWidth="1"/>
    <col min="11533" max="11533" width="9" style="152" customWidth="1"/>
    <col min="11534" max="11534" width="9.625" style="152" customWidth="1"/>
    <col min="11535" max="11535" width="16.25" style="152" customWidth="1"/>
    <col min="11536" max="11776" width="9" style="152"/>
    <col min="11777" max="11777" width="12" style="152" customWidth="1"/>
    <col min="11778" max="11778" width="17.25" style="152" customWidth="1"/>
    <col min="11779" max="11779" width="8.75" style="152" customWidth="1"/>
    <col min="11780" max="11780" width="8.375" style="152" customWidth="1"/>
    <col min="11781" max="11781" width="10.375" style="152" customWidth="1"/>
    <col min="11782" max="11782" width="9.125" style="152" customWidth="1"/>
    <col min="11783" max="11783" width="9.25" style="152" customWidth="1"/>
    <col min="11784" max="11784" width="8.875" style="152" customWidth="1"/>
    <col min="11785" max="11785" width="10" style="152" customWidth="1"/>
    <col min="11786" max="11786" width="9.875" style="152" customWidth="1"/>
    <col min="11787" max="11787" width="9" style="152" customWidth="1"/>
    <col min="11788" max="11788" width="10.75" style="152" customWidth="1"/>
    <col min="11789" max="11789" width="9" style="152" customWidth="1"/>
    <col min="11790" max="11790" width="9.625" style="152" customWidth="1"/>
    <col min="11791" max="11791" width="16.25" style="152" customWidth="1"/>
    <col min="11792" max="12032" width="9" style="152"/>
    <col min="12033" max="12033" width="12" style="152" customWidth="1"/>
    <col min="12034" max="12034" width="17.25" style="152" customWidth="1"/>
    <col min="12035" max="12035" width="8.75" style="152" customWidth="1"/>
    <col min="12036" max="12036" width="8.375" style="152" customWidth="1"/>
    <col min="12037" max="12037" width="10.375" style="152" customWidth="1"/>
    <col min="12038" max="12038" width="9.125" style="152" customWidth="1"/>
    <col min="12039" max="12039" width="9.25" style="152" customWidth="1"/>
    <col min="12040" max="12040" width="8.875" style="152" customWidth="1"/>
    <col min="12041" max="12041" width="10" style="152" customWidth="1"/>
    <col min="12042" max="12042" width="9.875" style="152" customWidth="1"/>
    <col min="12043" max="12043" width="9" style="152" customWidth="1"/>
    <col min="12044" max="12044" width="10.75" style="152" customWidth="1"/>
    <col min="12045" max="12045" width="9" style="152" customWidth="1"/>
    <col min="12046" max="12046" width="9.625" style="152" customWidth="1"/>
    <col min="12047" max="12047" width="16.25" style="152" customWidth="1"/>
    <col min="12048" max="12288" width="9" style="152"/>
    <col min="12289" max="12289" width="12" style="152" customWidth="1"/>
    <col min="12290" max="12290" width="17.25" style="152" customWidth="1"/>
    <col min="12291" max="12291" width="8.75" style="152" customWidth="1"/>
    <col min="12292" max="12292" width="8.375" style="152" customWidth="1"/>
    <col min="12293" max="12293" width="10.375" style="152" customWidth="1"/>
    <col min="12294" max="12294" width="9.125" style="152" customWidth="1"/>
    <col min="12295" max="12295" width="9.25" style="152" customWidth="1"/>
    <col min="12296" max="12296" width="8.875" style="152" customWidth="1"/>
    <col min="12297" max="12297" width="10" style="152" customWidth="1"/>
    <col min="12298" max="12298" width="9.875" style="152" customWidth="1"/>
    <col min="12299" max="12299" width="9" style="152" customWidth="1"/>
    <col min="12300" max="12300" width="10.75" style="152" customWidth="1"/>
    <col min="12301" max="12301" width="9" style="152" customWidth="1"/>
    <col min="12302" max="12302" width="9.625" style="152" customWidth="1"/>
    <col min="12303" max="12303" width="16.25" style="152" customWidth="1"/>
    <col min="12304" max="12544" width="9" style="152"/>
    <col min="12545" max="12545" width="12" style="152" customWidth="1"/>
    <col min="12546" max="12546" width="17.25" style="152" customWidth="1"/>
    <col min="12547" max="12547" width="8.75" style="152" customWidth="1"/>
    <col min="12548" max="12548" width="8.375" style="152" customWidth="1"/>
    <col min="12549" max="12549" width="10.375" style="152" customWidth="1"/>
    <col min="12550" max="12550" width="9.125" style="152" customWidth="1"/>
    <col min="12551" max="12551" width="9.25" style="152" customWidth="1"/>
    <col min="12552" max="12552" width="8.875" style="152" customWidth="1"/>
    <col min="12553" max="12553" width="10" style="152" customWidth="1"/>
    <col min="12554" max="12554" width="9.875" style="152" customWidth="1"/>
    <col min="12555" max="12555" width="9" style="152" customWidth="1"/>
    <col min="12556" max="12556" width="10.75" style="152" customWidth="1"/>
    <col min="12557" max="12557" width="9" style="152" customWidth="1"/>
    <col min="12558" max="12558" width="9.625" style="152" customWidth="1"/>
    <col min="12559" max="12559" width="16.25" style="152" customWidth="1"/>
    <col min="12560" max="12800" width="9" style="152"/>
    <col min="12801" max="12801" width="12" style="152" customWidth="1"/>
    <col min="12802" max="12802" width="17.25" style="152" customWidth="1"/>
    <col min="12803" max="12803" width="8.75" style="152" customWidth="1"/>
    <col min="12804" max="12804" width="8.375" style="152" customWidth="1"/>
    <col min="12805" max="12805" width="10.375" style="152" customWidth="1"/>
    <col min="12806" max="12806" width="9.125" style="152" customWidth="1"/>
    <col min="12807" max="12807" width="9.25" style="152" customWidth="1"/>
    <col min="12808" max="12808" width="8.875" style="152" customWidth="1"/>
    <col min="12809" max="12809" width="10" style="152" customWidth="1"/>
    <col min="12810" max="12810" width="9.875" style="152" customWidth="1"/>
    <col min="12811" max="12811" width="9" style="152" customWidth="1"/>
    <col min="12812" max="12812" width="10.75" style="152" customWidth="1"/>
    <col min="12813" max="12813" width="9" style="152" customWidth="1"/>
    <col min="12814" max="12814" width="9.625" style="152" customWidth="1"/>
    <col min="12815" max="12815" width="16.25" style="152" customWidth="1"/>
    <col min="12816" max="13056" width="9" style="152"/>
    <col min="13057" max="13057" width="12" style="152" customWidth="1"/>
    <col min="13058" max="13058" width="17.25" style="152" customWidth="1"/>
    <col min="13059" max="13059" width="8.75" style="152" customWidth="1"/>
    <col min="13060" max="13060" width="8.375" style="152" customWidth="1"/>
    <col min="13061" max="13061" width="10.375" style="152" customWidth="1"/>
    <col min="13062" max="13062" width="9.125" style="152" customWidth="1"/>
    <col min="13063" max="13063" width="9.25" style="152" customWidth="1"/>
    <col min="13064" max="13064" width="8.875" style="152" customWidth="1"/>
    <col min="13065" max="13065" width="10" style="152" customWidth="1"/>
    <col min="13066" max="13066" width="9.875" style="152" customWidth="1"/>
    <col min="13067" max="13067" width="9" style="152" customWidth="1"/>
    <col min="13068" max="13068" width="10.75" style="152" customWidth="1"/>
    <col min="13069" max="13069" width="9" style="152" customWidth="1"/>
    <col min="13070" max="13070" width="9.625" style="152" customWidth="1"/>
    <col min="13071" max="13071" width="16.25" style="152" customWidth="1"/>
    <col min="13072" max="13312" width="9" style="152"/>
    <col min="13313" max="13313" width="12" style="152" customWidth="1"/>
    <col min="13314" max="13314" width="17.25" style="152" customWidth="1"/>
    <col min="13315" max="13315" width="8.75" style="152" customWidth="1"/>
    <col min="13316" max="13316" width="8.375" style="152" customWidth="1"/>
    <col min="13317" max="13317" width="10.375" style="152" customWidth="1"/>
    <col min="13318" max="13318" width="9.125" style="152" customWidth="1"/>
    <col min="13319" max="13319" width="9.25" style="152" customWidth="1"/>
    <col min="13320" max="13320" width="8.875" style="152" customWidth="1"/>
    <col min="13321" max="13321" width="10" style="152" customWidth="1"/>
    <col min="13322" max="13322" width="9.875" style="152" customWidth="1"/>
    <col min="13323" max="13323" width="9" style="152" customWidth="1"/>
    <col min="13324" max="13324" width="10.75" style="152" customWidth="1"/>
    <col min="13325" max="13325" width="9" style="152" customWidth="1"/>
    <col min="13326" max="13326" width="9.625" style="152" customWidth="1"/>
    <col min="13327" max="13327" width="16.25" style="152" customWidth="1"/>
    <col min="13328" max="13568" width="9" style="152"/>
    <col min="13569" max="13569" width="12" style="152" customWidth="1"/>
    <col min="13570" max="13570" width="17.25" style="152" customWidth="1"/>
    <col min="13571" max="13571" width="8.75" style="152" customWidth="1"/>
    <col min="13572" max="13572" width="8.375" style="152" customWidth="1"/>
    <col min="13573" max="13573" width="10.375" style="152" customWidth="1"/>
    <col min="13574" max="13574" width="9.125" style="152" customWidth="1"/>
    <col min="13575" max="13575" width="9.25" style="152" customWidth="1"/>
    <col min="13576" max="13576" width="8.875" style="152" customWidth="1"/>
    <col min="13577" max="13577" width="10" style="152" customWidth="1"/>
    <col min="13578" max="13578" width="9.875" style="152" customWidth="1"/>
    <col min="13579" max="13579" width="9" style="152" customWidth="1"/>
    <col min="13580" max="13580" width="10.75" style="152" customWidth="1"/>
    <col min="13581" max="13581" width="9" style="152" customWidth="1"/>
    <col min="13582" max="13582" width="9.625" style="152" customWidth="1"/>
    <col min="13583" max="13583" width="16.25" style="152" customWidth="1"/>
    <col min="13584" max="13824" width="9" style="152"/>
    <col min="13825" max="13825" width="12" style="152" customWidth="1"/>
    <col min="13826" max="13826" width="17.25" style="152" customWidth="1"/>
    <col min="13827" max="13827" width="8.75" style="152" customWidth="1"/>
    <col min="13828" max="13828" width="8.375" style="152" customWidth="1"/>
    <col min="13829" max="13829" width="10.375" style="152" customWidth="1"/>
    <col min="13830" max="13830" width="9.125" style="152" customWidth="1"/>
    <col min="13831" max="13831" width="9.25" style="152" customWidth="1"/>
    <col min="13832" max="13832" width="8.875" style="152" customWidth="1"/>
    <col min="13833" max="13833" width="10" style="152" customWidth="1"/>
    <col min="13834" max="13834" width="9.875" style="152" customWidth="1"/>
    <col min="13835" max="13835" width="9" style="152" customWidth="1"/>
    <col min="13836" max="13836" width="10.75" style="152" customWidth="1"/>
    <col min="13837" max="13837" width="9" style="152" customWidth="1"/>
    <col min="13838" max="13838" width="9.625" style="152" customWidth="1"/>
    <col min="13839" max="13839" width="16.25" style="152" customWidth="1"/>
    <col min="13840" max="14080" width="9" style="152"/>
    <col min="14081" max="14081" width="12" style="152" customWidth="1"/>
    <col min="14082" max="14082" width="17.25" style="152" customWidth="1"/>
    <col min="14083" max="14083" width="8.75" style="152" customWidth="1"/>
    <col min="14084" max="14084" width="8.375" style="152" customWidth="1"/>
    <col min="14085" max="14085" width="10.375" style="152" customWidth="1"/>
    <col min="14086" max="14086" width="9.125" style="152" customWidth="1"/>
    <col min="14087" max="14087" width="9.25" style="152" customWidth="1"/>
    <col min="14088" max="14088" width="8.875" style="152" customWidth="1"/>
    <col min="14089" max="14089" width="10" style="152" customWidth="1"/>
    <col min="14090" max="14090" width="9.875" style="152" customWidth="1"/>
    <col min="14091" max="14091" width="9" style="152" customWidth="1"/>
    <col min="14092" max="14092" width="10.75" style="152" customWidth="1"/>
    <col min="14093" max="14093" width="9" style="152" customWidth="1"/>
    <col min="14094" max="14094" width="9.625" style="152" customWidth="1"/>
    <col min="14095" max="14095" width="16.25" style="152" customWidth="1"/>
    <col min="14096" max="14336" width="9" style="152"/>
    <col min="14337" max="14337" width="12" style="152" customWidth="1"/>
    <col min="14338" max="14338" width="17.25" style="152" customWidth="1"/>
    <col min="14339" max="14339" width="8.75" style="152" customWidth="1"/>
    <col min="14340" max="14340" width="8.375" style="152" customWidth="1"/>
    <col min="14341" max="14341" width="10.375" style="152" customWidth="1"/>
    <col min="14342" max="14342" width="9.125" style="152" customWidth="1"/>
    <col min="14343" max="14343" width="9.25" style="152" customWidth="1"/>
    <col min="14344" max="14344" width="8.875" style="152" customWidth="1"/>
    <col min="14345" max="14345" width="10" style="152" customWidth="1"/>
    <col min="14346" max="14346" width="9.875" style="152" customWidth="1"/>
    <col min="14347" max="14347" width="9" style="152" customWidth="1"/>
    <col min="14348" max="14348" width="10.75" style="152" customWidth="1"/>
    <col min="14349" max="14349" width="9" style="152" customWidth="1"/>
    <col min="14350" max="14350" width="9.625" style="152" customWidth="1"/>
    <col min="14351" max="14351" width="16.25" style="152" customWidth="1"/>
    <col min="14352" max="14592" width="9" style="152"/>
    <col min="14593" max="14593" width="12" style="152" customWidth="1"/>
    <col min="14594" max="14594" width="17.25" style="152" customWidth="1"/>
    <col min="14595" max="14595" width="8.75" style="152" customWidth="1"/>
    <col min="14596" max="14596" width="8.375" style="152" customWidth="1"/>
    <col min="14597" max="14597" width="10.375" style="152" customWidth="1"/>
    <col min="14598" max="14598" width="9.125" style="152" customWidth="1"/>
    <col min="14599" max="14599" width="9.25" style="152" customWidth="1"/>
    <col min="14600" max="14600" width="8.875" style="152" customWidth="1"/>
    <col min="14601" max="14601" width="10" style="152" customWidth="1"/>
    <col min="14602" max="14602" width="9.875" style="152" customWidth="1"/>
    <col min="14603" max="14603" width="9" style="152" customWidth="1"/>
    <col min="14604" max="14604" width="10.75" style="152" customWidth="1"/>
    <col min="14605" max="14605" width="9" style="152" customWidth="1"/>
    <col min="14606" max="14606" width="9.625" style="152" customWidth="1"/>
    <col min="14607" max="14607" width="16.25" style="152" customWidth="1"/>
    <col min="14608" max="14848" width="9" style="152"/>
    <col min="14849" max="14849" width="12" style="152" customWidth="1"/>
    <col min="14850" max="14850" width="17.25" style="152" customWidth="1"/>
    <col min="14851" max="14851" width="8.75" style="152" customWidth="1"/>
    <col min="14852" max="14852" width="8.375" style="152" customWidth="1"/>
    <col min="14853" max="14853" width="10.375" style="152" customWidth="1"/>
    <col min="14854" max="14854" width="9.125" style="152" customWidth="1"/>
    <col min="14855" max="14855" width="9.25" style="152" customWidth="1"/>
    <col min="14856" max="14856" width="8.875" style="152" customWidth="1"/>
    <col min="14857" max="14857" width="10" style="152" customWidth="1"/>
    <col min="14858" max="14858" width="9.875" style="152" customWidth="1"/>
    <col min="14859" max="14859" width="9" style="152" customWidth="1"/>
    <col min="14860" max="14860" width="10.75" style="152" customWidth="1"/>
    <col min="14861" max="14861" width="9" style="152" customWidth="1"/>
    <col min="14862" max="14862" width="9.625" style="152" customWidth="1"/>
    <col min="14863" max="14863" width="16.25" style="152" customWidth="1"/>
    <col min="14864" max="15104" width="9" style="152"/>
    <col min="15105" max="15105" width="12" style="152" customWidth="1"/>
    <col min="15106" max="15106" width="17.25" style="152" customWidth="1"/>
    <col min="15107" max="15107" width="8.75" style="152" customWidth="1"/>
    <col min="15108" max="15108" width="8.375" style="152" customWidth="1"/>
    <col min="15109" max="15109" width="10.375" style="152" customWidth="1"/>
    <col min="15110" max="15110" width="9.125" style="152" customWidth="1"/>
    <col min="15111" max="15111" width="9.25" style="152" customWidth="1"/>
    <col min="15112" max="15112" width="8.875" style="152" customWidth="1"/>
    <col min="15113" max="15113" width="10" style="152" customWidth="1"/>
    <col min="15114" max="15114" width="9.875" style="152" customWidth="1"/>
    <col min="15115" max="15115" width="9" style="152" customWidth="1"/>
    <col min="15116" max="15116" width="10.75" style="152" customWidth="1"/>
    <col min="15117" max="15117" width="9" style="152" customWidth="1"/>
    <col min="15118" max="15118" width="9.625" style="152" customWidth="1"/>
    <col min="15119" max="15119" width="16.25" style="152" customWidth="1"/>
    <col min="15120" max="15360" width="9" style="152"/>
    <col min="15361" max="15361" width="12" style="152" customWidth="1"/>
    <col min="15362" max="15362" width="17.25" style="152" customWidth="1"/>
    <col min="15363" max="15363" width="8.75" style="152" customWidth="1"/>
    <col min="15364" max="15364" width="8.375" style="152" customWidth="1"/>
    <col min="15365" max="15365" width="10.375" style="152" customWidth="1"/>
    <col min="15366" max="15366" width="9.125" style="152" customWidth="1"/>
    <col min="15367" max="15367" width="9.25" style="152" customWidth="1"/>
    <col min="15368" max="15368" width="8.875" style="152" customWidth="1"/>
    <col min="15369" max="15369" width="10" style="152" customWidth="1"/>
    <col min="15370" max="15370" width="9.875" style="152" customWidth="1"/>
    <col min="15371" max="15371" width="9" style="152" customWidth="1"/>
    <col min="15372" max="15372" width="10.75" style="152" customWidth="1"/>
    <col min="15373" max="15373" width="9" style="152" customWidth="1"/>
    <col min="15374" max="15374" width="9.625" style="152" customWidth="1"/>
    <col min="15375" max="15375" width="16.25" style="152" customWidth="1"/>
    <col min="15376" max="15616" width="9" style="152"/>
    <col min="15617" max="15617" width="12" style="152" customWidth="1"/>
    <col min="15618" max="15618" width="17.25" style="152" customWidth="1"/>
    <col min="15619" max="15619" width="8.75" style="152" customWidth="1"/>
    <col min="15620" max="15620" width="8.375" style="152" customWidth="1"/>
    <col min="15621" max="15621" width="10.375" style="152" customWidth="1"/>
    <col min="15622" max="15622" width="9.125" style="152" customWidth="1"/>
    <col min="15623" max="15623" width="9.25" style="152" customWidth="1"/>
    <col min="15624" max="15624" width="8.875" style="152" customWidth="1"/>
    <col min="15625" max="15625" width="10" style="152" customWidth="1"/>
    <col min="15626" max="15626" width="9.875" style="152" customWidth="1"/>
    <col min="15627" max="15627" width="9" style="152" customWidth="1"/>
    <col min="15628" max="15628" width="10.75" style="152" customWidth="1"/>
    <col min="15629" max="15629" width="9" style="152" customWidth="1"/>
    <col min="15630" max="15630" width="9.625" style="152" customWidth="1"/>
    <col min="15631" max="15631" width="16.25" style="152" customWidth="1"/>
    <col min="15632" max="15872" width="9" style="152"/>
    <col min="15873" max="15873" width="12" style="152" customWidth="1"/>
    <col min="15874" max="15874" width="17.25" style="152" customWidth="1"/>
    <col min="15875" max="15875" width="8.75" style="152" customWidth="1"/>
    <col min="15876" max="15876" width="8.375" style="152" customWidth="1"/>
    <col min="15877" max="15877" width="10.375" style="152" customWidth="1"/>
    <col min="15878" max="15878" width="9.125" style="152" customWidth="1"/>
    <col min="15879" max="15879" width="9.25" style="152" customWidth="1"/>
    <col min="15880" max="15880" width="8.875" style="152" customWidth="1"/>
    <col min="15881" max="15881" width="10" style="152" customWidth="1"/>
    <col min="15882" max="15882" width="9.875" style="152" customWidth="1"/>
    <col min="15883" max="15883" width="9" style="152" customWidth="1"/>
    <col min="15884" max="15884" width="10.75" style="152" customWidth="1"/>
    <col min="15885" max="15885" width="9" style="152" customWidth="1"/>
    <col min="15886" max="15886" width="9.625" style="152" customWidth="1"/>
    <col min="15887" max="15887" width="16.25" style="152" customWidth="1"/>
    <col min="15888" max="16128" width="9" style="152"/>
    <col min="16129" max="16129" width="12" style="152" customWidth="1"/>
    <col min="16130" max="16130" width="17.25" style="152" customWidth="1"/>
    <col min="16131" max="16131" width="8.75" style="152" customWidth="1"/>
    <col min="16132" max="16132" width="8.375" style="152" customWidth="1"/>
    <col min="16133" max="16133" width="10.375" style="152" customWidth="1"/>
    <col min="16134" max="16134" width="9.125" style="152" customWidth="1"/>
    <col min="16135" max="16135" width="9.25" style="152" customWidth="1"/>
    <col min="16136" max="16136" width="8.875" style="152" customWidth="1"/>
    <col min="16137" max="16137" width="10" style="152" customWidth="1"/>
    <col min="16138" max="16138" width="9.875" style="152" customWidth="1"/>
    <col min="16139" max="16139" width="9" style="152" customWidth="1"/>
    <col min="16140" max="16140" width="10.75" style="152" customWidth="1"/>
    <col min="16141" max="16141" width="9" style="152" customWidth="1"/>
    <col min="16142" max="16142" width="9.625" style="152" customWidth="1"/>
    <col min="16143" max="16143" width="16.25" style="152" customWidth="1"/>
    <col min="16144" max="16384" width="9" style="152"/>
  </cols>
  <sheetData>
    <row r="1" spans="1:14" ht="20.25">
      <c r="A1" s="865" t="s">
        <v>792</v>
      </c>
      <c r="B1" s="865"/>
      <c r="C1" s="865"/>
      <c r="D1" s="865"/>
      <c r="E1" s="865"/>
      <c r="F1" s="865"/>
      <c r="G1" s="865"/>
      <c r="H1" s="865"/>
      <c r="I1" s="865"/>
      <c r="J1" s="865"/>
      <c r="K1" s="865"/>
      <c r="L1" s="865"/>
      <c r="M1" s="865"/>
      <c r="N1" s="865"/>
    </row>
    <row r="2" spans="1:14" ht="21">
      <c r="A2" s="337" t="s">
        <v>800</v>
      </c>
      <c r="B2" s="367"/>
      <c r="C2" s="188"/>
      <c r="D2" s="188"/>
      <c r="E2" s="188"/>
      <c r="F2" s="188"/>
      <c r="G2" s="188"/>
      <c r="H2" s="188"/>
      <c r="I2" s="188"/>
      <c r="J2" s="188"/>
      <c r="K2" s="188"/>
      <c r="L2" s="188"/>
      <c r="M2" s="188"/>
      <c r="N2" s="188"/>
    </row>
    <row r="3" spans="1:14" ht="12.75">
      <c r="A3" s="330" t="s">
        <v>804</v>
      </c>
      <c r="B3" s="330"/>
      <c r="C3" s="187"/>
      <c r="D3" s="187"/>
      <c r="E3" s="187"/>
      <c r="F3" s="187"/>
      <c r="G3" s="187"/>
      <c r="H3" s="187"/>
      <c r="I3" s="187"/>
      <c r="J3" s="186"/>
      <c r="K3" s="186"/>
      <c r="L3" s="186"/>
      <c r="M3" s="186"/>
      <c r="N3" s="186"/>
    </row>
    <row r="4" spans="1:14" ht="13.5" thickBot="1">
      <c r="A4" s="633" t="s">
        <v>938</v>
      </c>
      <c r="B4" s="633"/>
      <c r="C4" s="187"/>
      <c r="D4" s="187"/>
      <c r="E4" s="187"/>
      <c r="F4" s="187"/>
      <c r="G4" s="187"/>
      <c r="H4" s="187"/>
      <c r="I4" s="187"/>
      <c r="J4" s="186"/>
      <c r="K4" s="186"/>
      <c r="L4" s="186"/>
      <c r="M4" s="186"/>
      <c r="N4" s="186"/>
    </row>
    <row r="5" spans="1:14" ht="14.25" thickTop="1" thickBot="1">
      <c r="A5" s="643" t="s">
        <v>937</v>
      </c>
      <c r="B5" s="330"/>
      <c r="C5" s="187"/>
      <c r="D5" s="187"/>
      <c r="E5" s="551"/>
      <c r="F5" s="573"/>
      <c r="G5" s="574" t="s">
        <v>819</v>
      </c>
      <c r="H5" s="574" t="s">
        <v>820</v>
      </c>
      <c r="I5" s="574" t="s">
        <v>821</v>
      </c>
      <c r="J5" s="574" t="s">
        <v>822</v>
      </c>
      <c r="K5" s="575" t="s">
        <v>823</v>
      </c>
      <c r="L5" s="330"/>
      <c r="M5" s="330"/>
      <c r="N5" s="330"/>
    </row>
    <row r="6" spans="1:14" ht="19.5" customHeight="1" thickTop="1" thickBot="1">
      <c r="A6" s="569" t="s">
        <v>812</v>
      </c>
      <c r="B6" s="570" t="s">
        <v>811</v>
      </c>
      <c r="C6" s="571" t="s">
        <v>813</v>
      </c>
      <c r="D6" s="572" t="s">
        <v>915</v>
      </c>
      <c r="E6" s="551"/>
      <c r="F6" s="576" t="s">
        <v>818</v>
      </c>
      <c r="G6" s="577">
        <v>3</v>
      </c>
      <c r="H6" s="577">
        <v>2</v>
      </c>
      <c r="I6" s="577">
        <v>1</v>
      </c>
      <c r="J6" s="577">
        <v>0.2</v>
      </c>
      <c r="K6" s="578">
        <v>0.1</v>
      </c>
      <c r="L6" s="499"/>
      <c r="M6" s="499"/>
      <c r="N6" s="499"/>
    </row>
    <row r="7" spans="1:14" ht="5.25" customHeight="1" thickTop="1" thickBot="1">
      <c r="A7" s="538"/>
      <c r="B7" s="499"/>
      <c r="C7" s="538"/>
      <c r="D7" s="187"/>
      <c r="E7" s="187"/>
      <c r="F7" s="187"/>
      <c r="G7" s="187"/>
      <c r="H7" s="187"/>
      <c r="I7" s="187"/>
      <c r="J7" s="499"/>
      <c r="K7" s="499"/>
      <c r="L7" s="499"/>
      <c r="M7" s="499"/>
      <c r="N7" s="499"/>
    </row>
    <row r="8" spans="1:14" ht="15" customHeight="1" thickTop="1">
      <c r="A8" s="893" t="s">
        <v>805</v>
      </c>
      <c r="B8" s="890" t="s">
        <v>265</v>
      </c>
      <c r="C8" s="890"/>
      <c r="D8" s="890"/>
      <c r="E8" s="890"/>
      <c r="F8" s="890"/>
      <c r="G8" s="894" t="s">
        <v>816</v>
      </c>
      <c r="H8" s="894" t="s">
        <v>817</v>
      </c>
      <c r="I8" s="890" t="s">
        <v>815</v>
      </c>
      <c r="J8" s="890" t="s">
        <v>960</v>
      </c>
      <c r="K8" s="890" t="s">
        <v>810</v>
      </c>
      <c r="L8" s="891" t="s">
        <v>759</v>
      </c>
      <c r="M8" s="891"/>
      <c r="N8" s="891"/>
    </row>
    <row r="9" spans="1:14" ht="15" customHeight="1">
      <c r="A9" s="890"/>
      <c r="B9" s="505" t="s">
        <v>264</v>
      </c>
      <c r="C9" s="505" t="s">
        <v>263</v>
      </c>
      <c r="D9" s="505" t="s">
        <v>262</v>
      </c>
      <c r="E9" s="505" t="s">
        <v>522</v>
      </c>
      <c r="F9" s="505" t="s">
        <v>261</v>
      </c>
      <c r="G9" s="895"/>
      <c r="H9" s="895"/>
      <c r="I9" s="890"/>
      <c r="J9" s="890"/>
      <c r="K9" s="890"/>
      <c r="L9" s="484" t="s">
        <v>50</v>
      </c>
      <c r="M9" s="486" t="s">
        <v>51</v>
      </c>
      <c r="N9" s="484" t="s">
        <v>760</v>
      </c>
    </row>
    <row r="10" spans="1:14" ht="15" customHeight="1">
      <c r="A10" s="505" t="str">
        <f>CONCATENATE("测试第",ROW(A10)-ROW($A$9),"轮")</f>
        <v>测试第1轮</v>
      </c>
      <c r="B10" s="541">
        <v>3</v>
      </c>
      <c r="C10" s="541">
        <v>14</v>
      </c>
      <c r="D10" s="541">
        <v>45</v>
      </c>
      <c r="E10" s="541">
        <v>55</v>
      </c>
      <c r="F10" s="541">
        <v>0</v>
      </c>
      <c r="G10" s="533">
        <f>I10-H10</f>
        <v>92</v>
      </c>
      <c r="H10" s="540">
        <v>1</v>
      </c>
      <c r="I10" s="533">
        <f>B10*$G$6+C10*$H$6+D10*$I$6+E10*$J$6+F10*$K$6</f>
        <v>93</v>
      </c>
      <c r="J10" s="542">
        <v>100</v>
      </c>
      <c r="K10" s="543">
        <f t="shared" ref="K10:K16" si="0">I10/J10</f>
        <v>0.93</v>
      </c>
      <c r="L10" s="509">
        <f>$L$15</f>
        <v>0</v>
      </c>
      <c r="M10" s="510">
        <f>$M$15</f>
        <v>0.51200000000000001</v>
      </c>
      <c r="N10" s="509">
        <f>$N$15</f>
        <v>1.452</v>
      </c>
    </row>
    <row r="11" spans="1:14" ht="15" customHeight="1">
      <c r="A11" s="505" t="str">
        <f>CONCATENATE("测试第",ROW(A11)-ROW($A$9),"轮")</f>
        <v>测试第2轮</v>
      </c>
      <c r="B11" s="541">
        <v>0</v>
      </c>
      <c r="C11" s="541">
        <v>10</v>
      </c>
      <c r="D11" s="541">
        <v>30</v>
      </c>
      <c r="E11" s="541">
        <v>20</v>
      </c>
      <c r="F11" s="541">
        <v>11</v>
      </c>
      <c r="G11" s="533">
        <f t="shared" ref="G11:G13" si="1">I11-H11</f>
        <v>54.1</v>
      </c>
      <c r="H11" s="540">
        <v>1</v>
      </c>
      <c r="I11" s="533">
        <f t="shared" ref="I11:I16" si="2">B11*$G$6+C11*$H$6+D11*$I$6+E11*$J$6+F11*$K$6</f>
        <v>55.1</v>
      </c>
      <c r="J11" s="542">
        <v>70</v>
      </c>
      <c r="K11" s="543">
        <f t="shared" si="0"/>
        <v>0.78714285714285714</v>
      </c>
      <c r="L11" s="509">
        <f>$L$15</f>
        <v>0</v>
      </c>
      <c r="M11" s="510">
        <f>$M$15</f>
        <v>0.51200000000000001</v>
      </c>
      <c r="N11" s="509">
        <f>$N$15</f>
        <v>1.452</v>
      </c>
    </row>
    <row r="12" spans="1:14" ht="15" customHeight="1">
      <c r="A12" s="505" t="str">
        <f>CONCATENATE("测试第",ROW(A12)-ROW($A$9),"轮")</f>
        <v>测试第3轮</v>
      </c>
      <c r="B12" s="541">
        <v>0</v>
      </c>
      <c r="C12" s="541">
        <v>3</v>
      </c>
      <c r="D12" s="541">
        <v>10</v>
      </c>
      <c r="E12" s="541">
        <v>15</v>
      </c>
      <c r="F12" s="541">
        <v>3</v>
      </c>
      <c r="G12" s="533">
        <f t="shared" si="1"/>
        <v>19.3</v>
      </c>
      <c r="H12" s="540">
        <v>0</v>
      </c>
      <c r="I12" s="533">
        <f t="shared" si="2"/>
        <v>19.3</v>
      </c>
      <c r="J12" s="542">
        <v>80</v>
      </c>
      <c r="K12" s="543">
        <f t="shared" si="0"/>
        <v>0.24125000000000002</v>
      </c>
      <c r="L12" s="509">
        <f>$L$15</f>
        <v>0</v>
      </c>
      <c r="M12" s="510">
        <f>$M$15</f>
        <v>0.51200000000000001</v>
      </c>
      <c r="N12" s="509">
        <f>$N$15</f>
        <v>1.452</v>
      </c>
    </row>
    <row r="13" spans="1:14">
      <c r="A13" s="616" t="str">
        <f>CONCATENATE("测试第",ROW(A13)-ROW($A$9),"轮")</f>
        <v>测试第4轮</v>
      </c>
      <c r="B13" s="541">
        <v>1</v>
      </c>
      <c r="C13" s="541">
        <v>1</v>
      </c>
      <c r="D13" s="541">
        <v>11</v>
      </c>
      <c r="E13" s="541">
        <v>0</v>
      </c>
      <c r="F13" s="541">
        <v>0</v>
      </c>
      <c r="G13" s="533">
        <f t="shared" si="1"/>
        <v>16</v>
      </c>
      <c r="H13" s="540">
        <v>0</v>
      </c>
      <c r="I13" s="533">
        <f>B13*$G$6+C13*$H$6+D13*$I$6+E13*$J$6+F13*$K$6</f>
        <v>16</v>
      </c>
      <c r="J13" s="542">
        <v>80</v>
      </c>
      <c r="K13" s="543">
        <f t="shared" si="0"/>
        <v>0.2</v>
      </c>
      <c r="L13" s="509">
        <f>$L$15</f>
        <v>0</v>
      </c>
      <c r="M13" s="510">
        <f>$M$15</f>
        <v>0.51200000000000001</v>
      </c>
      <c r="N13" s="509">
        <f>$N$15</f>
        <v>1.452</v>
      </c>
    </row>
    <row r="14" spans="1:14">
      <c r="A14" s="505" t="s">
        <v>814</v>
      </c>
      <c r="B14" s="544" t="str">
        <f t="shared" ref="B14:F14" si="3">"-"</f>
        <v>-</v>
      </c>
      <c r="C14" s="544" t="str">
        <f t="shared" si="3"/>
        <v>-</v>
      </c>
      <c r="D14" s="544" t="str">
        <f t="shared" si="3"/>
        <v>-</v>
      </c>
      <c r="E14" s="544" t="str">
        <f t="shared" si="3"/>
        <v>-</v>
      </c>
      <c r="F14" s="544" t="str">
        <f t="shared" si="3"/>
        <v>-</v>
      </c>
      <c r="G14" s="545" t="s">
        <v>807</v>
      </c>
      <c r="H14" s="545" t="s">
        <v>807</v>
      </c>
      <c r="I14" s="534" t="e">
        <f>B14*$G$6+C14*$H$6+D14*$I$6+E14*$J$6+F14*$K$6</f>
        <v>#VALUE!</v>
      </c>
      <c r="J14" s="546" t="s">
        <v>808</v>
      </c>
      <c r="K14" s="547" t="e">
        <f t="shared" si="0"/>
        <v>#VALUE!</v>
      </c>
      <c r="L14" s="537">
        <f>$L$15</f>
        <v>0</v>
      </c>
      <c r="M14" s="537">
        <f>$M$15</f>
        <v>0.51200000000000001</v>
      </c>
      <c r="N14" s="537">
        <f>$N$15</f>
        <v>1.452</v>
      </c>
    </row>
    <row r="15" spans="1:14" ht="12.75" customHeight="1">
      <c r="A15" s="505" t="s">
        <v>809</v>
      </c>
      <c r="B15" s="535">
        <f t="shared" ref="B15:H15" si="4">SUM(B10:B14)</f>
        <v>4</v>
      </c>
      <c r="C15" s="535">
        <f t="shared" si="4"/>
        <v>28</v>
      </c>
      <c r="D15" s="535">
        <f t="shared" si="4"/>
        <v>96</v>
      </c>
      <c r="E15" s="535">
        <f t="shared" si="4"/>
        <v>90</v>
      </c>
      <c r="F15" s="535">
        <f t="shared" si="4"/>
        <v>14</v>
      </c>
      <c r="G15" s="533">
        <f t="shared" si="4"/>
        <v>181.4</v>
      </c>
      <c r="H15" s="533">
        <f t="shared" si="4"/>
        <v>2</v>
      </c>
      <c r="I15" s="533">
        <f t="shared" si="2"/>
        <v>183.4</v>
      </c>
      <c r="J15" s="542">
        <f>规模!C11</f>
        <v>287.5</v>
      </c>
      <c r="K15" s="543">
        <f t="shared" si="0"/>
        <v>0.63791304347826094</v>
      </c>
      <c r="L15" s="509">
        <f>IF($B$6="强测试",0,0)</f>
        <v>0</v>
      </c>
      <c r="M15" s="510">
        <f>IF($B$6="强测试",1.9941,0.512)</f>
        <v>0.51200000000000001</v>
      </c>
      <c r="N15" s="509">
        <f>IF($B$6="强测试",4.9096,1.452)</f>
        <v>1.452</v>
      </c>
    </row>
    <row r="16" spans="1:14" ht="12.75" customHeight="1">
      <c r="A16" s="505" t="s">
        <v>806</v>
      </c>
      <c r="B16" s="541">
        <v>1</v>
      </c>
      <c r="C16" s="541">
        <v>2</v>
      </c>
      <c r="D16" s="541">
        <v>2</v>
      </c>
      <c r="E16" s="541">
        <v>1</v>
      </c>
      <c r="F16" s="541">
        <v>0</v>
      </c>
      <c r="G16" s="541">
        <v>3</v>
      </c>
      <c r="H16" s="541">
        <v>0</v>
      </c>
      <c r="I16" s="533">
        <f t="shared" si="2"/>
        <v>9.1999999999999993</v>
      </c>
      <c r="J16" s="542">
        <f>规模!C11</f>
        <v>287.5</v>
      </c>
      <c r="K16" s="543">
        <f t="shared" si="0"/>
        <v>3.2000000000000001E-2</v>
      </c>
      <c r="L16" s="509">
        <f>IF($D$6="内部验收",0.013,0.013)</f>
        <v>1.2999999999999999E-2</v>
      </c>
      <c r="M16" s="510">
        <f>IF($D$6="内部验收",0.0324,0.033)</f>
        <v>3.3000000000000002E-2</v>
      </c>
      <c r="N16" s="509">
        <f>IF($D$6="内部验收",0.0677,0.0709)</f>
        <v>7.0900000000000005E-2</v>
      </c>
    </row>
    <row r="17" spans="1:14">
      <c r="A17" s="539" t="s">
        <v>909</v>
      </c>
      <c r="B17" s="548" t="s">
        <v>807</v>
      </c>
      <c r="C17" s="548" t="s">
        <v>807</v>
      </c>
      <c r="D17" s="548" t="s">
        <v>807</v>
      </c>
      <c r="E17" s="548" t="s">
        <v>807</v>
      </c>
      <c r="F17" s="548" t="s">
        <v>807</v>
      </c>
      <c r="G17" s="548" t="s">
        <v>807</v>
      </c>
      <c r="H17" s="548" t="s">
        <v>807</v>
      </c>
      <c r="I17" s="661">
        <f>H15+I16</f>
        <v>11.2</v>
      </c>
      <c r="J17" s="661" t="s">
        <v>948</v>
      </c>
      <c r="K17" s="549">
        <f>I17/(I15+I16+过程产出缺陷度量!I113)</f>
        <v>4.5234248788368334E-2</v>
      </c>
      <c r="L17" s="509">
        <v>0</v>
      </c>
      <c r="M17" s="510">
        <v>2.9600000000000001E-2</v>
      </c>
      <c r="N17" s="509">
        <v>8.3503875379939224E-2</v>
      </c>
    </row>
    <row r="18" spans="1:14" ht="12.75" customHeight="1"/>
    <row r="19" spans="1:14" ht="16.5" customHeight="1"/>
    <row r="20" spans="1:14" ht="23.1" customHeight="1">
      <c r="L20" s="536"/>
      <c r="M20" s="536"/>
      <c r="N20" s="536"/>
    </row>
    <row r="21" spans="1:14">
      <c r="L21" s="536"/>
      <c r="M21" s="536"/>
      <c r="N21" s="536"/>
    </row>
    <row r="22" spans="1:14" ht="15" customHeight="1"/>
    <row r="23" spans="1:14" ht="12" customHeight="1"/>
    <row r="24" spans="1:14" ht="24.95" customHeight="1"/>
    <row r="25" spans="1:14" ht="18" customHeight="1"/>
    <row r="27" spans="1:14" ht="23.1" customHeight="1"/>
    <row r="28" spans="1:14" ht="23.1" customHeight="1"/>
    <row r="29" spans="1:14" ht="23.1" customHeight="1"/>
    <row r="30" spans="1:14" ht="23.1" customHeight="1"/>
    <row r="31" spans="1:14" ht="23.1" customHeight="1">
      <c r="A31" s="386" t="s">
        <v>523</v>
      </c>
      <c r="B31" s="364"/>
      <c r="G31" s="386" t="s">
        <v>256</v>
      </c>
      <c r="H31" s="387"/>
      <c r="I31" s="364"/>
      <c r="J31" s="364"/>
    </row>
    <row r="32" spans="1:14" ht="23.1" customHeight="1">
      <c r="A32" s="248" t="s">
        <v>260</v>
      </c>
      <c r="G32" s="248" t="s">
        <v>255</v>
      </c>
    </row>
    <row r="33" spans="1:15" ht="23.1" customHeight="1" thickBot="1">
      <c r="A33" s="172" t="s">
        <v>259</v>
      </c>
      <c r="F33" s="138"/>
      <c r="G33" s="172" t="s">
        <v>254</v>
      </c>
      <c r="H33" s="248"/>
      <c r="M33" s="138"/>
      <c r="N33" s="138"/>
    </row>
    <row r="34" spans="1:15" ht="15.75" customHeight="1" thickTop="1" thickBot="1">
      <c r="A34" s="898" t="s">
        <v>524</v>
      </c>
      <c r="B34" s="558" t="s">
        <v>942</v>
      </c>
      <c r="C34" s="559">
        <v>2</v>
      </c>
      <c r="D34" s="900" t="s">
        <v>258</v>
      </c>
      <c r="E34" s="902">
        <f>1-(C34/C35)</f>
        <v>0.95</v>
      </c>
      <c r="F34" s="138"/>
      <c r="G34" s="913" t="s">
        <v>253</v>
      </c>
      <c r="H34" s="916" t="s">
        <v>252</v>
      </c>
      <c r="I34" s="918" t="s">
        <v>251</v>
      </c>
      <c r="J34" s="919"/>
      <c r="K34" s="906" t="s">
        <v>154</v>
      </c>
      <c r="M34" s="138"/>
      <c r="N34" s="138"/>
    </row>
    <row r="35" spans="1:15" ht="23.1" customHeight="1" thickTop="1" thickBot="1">
      <c r="A35" s="899"/>
      <c r="B35" s="560" t="s">
        <v>257</v>
      </c>
      <c r="C35" s="561">
        <v>40</v>
      </c>
      <c r="D35" s="901"/>
      <c r="E35" s="903"/>
      <c r="G35" s="914"/>
      <c r="H35" s="917"/>
      <c r="I35" s="920"/>
      <c r="J35" s="921"/>
      <c r="K35" s="906"/>
      <c r="O35" s="250"/>
    </row>
    <row r="36" spans="1:15" ht="23.1" customHeight="1" thickTop="1" thickBot="1">
      <c r="G36" s="915"/>
      <c r="H36" s="550">
        <v>12</v>
      </c>
      <c r="I36" s="922">
        <v>10</v>
      </c>
      <c r="J36" s="923"/>
      <c r="K36" s="562"/>
      <c r="O36" s="250"/>
    </row>
    <row r="37" spans="1:15" ht="23.1" customHeight="1" thickTop="1">
      <c r="A37" s="898" t="s">
        <v>939</v>
      </c>
      <c r="B37" s="558" t="s">
        <v>940</v>
      </c>
      <c r="C37" s="559">
        <v>2</v>
      </c>
      <c r="D37" s="900" t="s">
        <v>258</v>
      </c>
      <c r="E37" s="902">
        <f>1-(C37/C38)</f>
        <v>0.8</v>
      </c>
      <c r="G37" s="654"/>
      <c r="H37" s="653"/>
      <c r="I37" s="653"/>
      <c r="J37" s="653"/>
      <c r="K37" s="634"/>
      <c r="O37" s="250"/>
    </row>
    <row r="38" spans="1:15" ht="23.1" customHeight="1" thickBot="1">
      <c r="A38" s="899"/>
      <c r="B38" s="560" t="s">
        <v>941</v>
      </c>
      <c r="C38" s="561">
        <v>10</v>
      </c>
      <c r="D38" s="901"/>
      <c r="E38" s="903"/>
      <c r="G38" s="654"/>
      <c r="H38" s="653"/>
      <c r="I38" s="653"/>
      <c r="J38" s="653"/>
      <c r="K38" s="634"/>
      <c r="O38" s="250"/>
    </row>
    <row r="39" spans="1:15" ht="12.75" thickTop="1">
      <c r="G39" s="654"/>
      <c r="H39" s="653"/>
      <c r="I39" s="653"/>
      <c r="J39" s="653"/>
      <c r="K39" s="634"/>
    </row>
    <row r="40" spans="1:15">
      <c r="A40" s="386" t="s">
        <v>824</v>
      </c>
      <c r="B40" s="364"/>
    </row>
    <row r="41" spans="1:15">
      <c r="A41" s="248" t="s">
        <v>250</v>
      </c>
    </row>
    <row r="42" spans="1:15" ht="23.1" customHeight="1">
      <c r="A42" s="172" t="s">
        <v>248</v>
      </c>
    </row>
    <row r="43" spans="1:15" ht="23.1" customHeight="1" thickBot="1"/>
    <row r="44" spans="1:15" ht="23.1" customHeight="1" thickTop="1">
      <c r="A44" s="552" t="s">
        <v>247</v>
      </c>
      <c r="B44" s="553" t="s">
        <v>249</v>
      </c>
      <c r="C44" s="553" t="s">
        <v>525</v>
      </c>
      <c r="D44" s="907" t="s">
        <v>526</v>
      </c>
      <c r="E44" s="908"/>
    </row>
    <row r="45" spans="1:15" ht="23.1" customHeight="1">
      <c r="A45" s="554">
        <v>1</v>
      </c>
      <c r="B45" s="253" t="s">
        <v>527</v>
      </c>
      <c r="C45" s="252">
        <v>1</v>
      </c>
      <c r="D45" s="909"/>
      <c r="E45" s="910"/>
    </row>
    <row r="46" spans="1:15" ht="23.1" customHeight="1">
      <c r="A46" s="554">
        <v>2</v>
      </c>
      <c r="B46" s="253" t="s">
        <v>528</v>
      </c>
      <c r="C46" s="252">
        <v>10</v>
      </c>
      <c r="D46" s="909"/>
      <c r="E46" s="910"/>
    </row>
    <row r="47" spans="1:15" ht="23.1" customHeight="1">
      <c r="A47" s="554">
        <v>3</v>
      </c>
      <c r="B47" s="253" t="s">
        <v>529</v>
      </c>
      <c r="C47" s="252">
        <v>3</v>
      </c>
      <c r="D47" s="909"/>
      <c r="E47" s="910"/>
    </row>
    <row r="48" spans="1:15" ht="23.1" customHeight="1" thickBot="1">
      <c r="A48" s="555">
        <v>4</v>
      </c>
      <c r="B48" s="556" t="s">
        <v>530</v>
      </c>
      <c r="C48" s="557">
        <v>0</v>
      </c>
      <c r="D48" s="911"/>
      <c r="E48" s="912"/>
    </row>
    <row r="49" spans="1:14" ht="23.1" customHeight="1" thickTop="1"/>
    <row r="51" spans="1:14">
      <c r="A51" s="386" t="s">
        <v>825</v>
      </c>
      <c r="B51" s="364"/>
    </row>
    <row r="52" spans="1:14">
      <c r="A52" s="248" t="s">
        <v>531</v>
      </c>
    </row>
    <row r="53" spans="1:14" ht="20.25" customHeight="1" thickBot="1">
      <c r="A53" s="172" t="s">
        <v>532</v>
      </c>
    </row>
    <row r="54" spans="1:14" ht="12.75" thickTop="1">
      <c r="A54" s="552" t="s">
        <v>533</v>
      </c>
      <c r="B54" s="553" t="s">
        <v>534</v>
      </c>
      <c r="C54" s="553" t="s">
        <v>525</v>
      </c>
      <c r="D54" s="907" t="s">
        <v>526</v>
      </c>
      <c r="E54" s="908"/>
    </row>
    <row r="55" spans="1:14">
      <c r="A55" s="554">
        <v>1</v>
      </c>
      <c r="B55" s="251" t="s">
        <v>230</v>
      </c>
      <c r="C55" s="501">
        <v>1</v>
      </c>
      <c r="D55" s="904"/>
      <c r="E55" s="905"/>
    </row>
    <row r="56" spans="1:14">
      <c r="A56" s="554">
        <v>2</v>
      </c>
      <c r="B56" s="251" t="s">
        <v>219</v>
      </c>
      <c r="C56" s="501">
        <v>10</v>
      </c>
      <c r="D56" s="904"/>
      <c r="E56" s="905"/>
    </row>
    <row r="57" spans="1:14">
      <c r="A57" s="554">
        <v>3</v>
      </c>
      <c r="B57" s="251" t="s">
        <v>209</v>
      </c>
      <c r="C57" s="501">
        <v>3</v>
      </c>
      <c r="D57" s="904"/>
      <c r="E57" s="905"/>
    </row>
    <row r="58" spans="1:14">
      <c r="A58" s="554">
        <v>4</v>
      </c>
      <c r="B58" s="251" t="s">
        <v>201</v>
      </c>
      <c r="C58" s="501">
        <v>10</v>
      </c>
      <c r="D58" s="904"/>
      <c r="E58" s="905"/>
    </row>
    <row r="59" spans="1:14" ht="12.75" thickBot="1">
      <c r="A59" s="555">
        <v>4</v>
      </c>
      <c r="B59" s="563" t="s">
        <v>530</v>
      </c>
      <c r="C59" s="564">
        <v>2</v>
      </c>
      <c r="D59" s="925"/>
      <c r="E59" s="926"/>
    </row>
    <row r="60" spans="1:14" ht="12.75" thickTop="1"/>
    <row r="62" spans="1:14">
      <c r="A62" s="248" t="s">
        <v>535</v>
      </c>
      <c r="H62" s="250"/>
      <c r="I62" s="176"/>
      <c r="J62" s="250"/>
      <c r="K62" s="250"/>
      <c r="L62" s="250"/>
      <c r="M62" s="176"/>
      <c r="N62" s="250"/>
    </row>
    <row r="63" spans="1:14">
      <c r="A63" s="248" t="s">
        <v>536</v>
      </c>
    </row>
    <row r="64" spans="1:14">
      <c r="A64" s="248" t="s">
        <v>537</v>
      </c>
      <c r="I64" s="248"/>
    </row>
    <row r="65" spans="1:9" ht="12.75" thickBot="1">
      <c r="A65" s="248" t="s">
        <v>538</v>
      </c>
      <c r="I65" s="248"/>
    </row>
    <row r="66" spans="1:9" ht="12.75" thickTop="1">
      <c r="A66" s="552" t="s">
        <v>533</v>
      </c>
      <c r="B66" s="553" t="s">
        <v>539</v>
      </c>
      <c r="C66" s="553" t="s">
        <v>525</v>
      </c>
      <c r="D66" s="927" t="s">
        <v>526</v>
      </c>
      <c r="E66" s="928"/>
      <c r="F66" s="929"/>
    </row>
    <row r="67" spans="1:9">
      <c r="A67" s="554">
        <v>1</v>
      </c>
      <c r="B67" s="249" t="s">
        <v>540</v>
      </c>
      <c r="C67" s="501">
        <v>1</v>
      </c>
      <c r="D67" s="931" t="s">
        <v>541</v>
      </c>
      <c r="E67" s="932"/>
      <c r="F67" s="933"/>
      <c r="I67" s="248"/>
    </row>
    <row r="68" spans="1:9">
      <c r="A68" s="554">
        <v>2</v>
      </c>
      <c r="B68" s="501" t="s">
        <v>542</v>
      </c>
      <c r="C68" s="501">
        <v>3</v>
      </c>
      <c r="D68" s="931" t="s">
        <v>826</v>
      </c>
      <c r="E68" s="932"/>
      <c r="F68" s="933"/>
    </row>
    <row r="69" spans="1:9">
      <c r="A69" s="554">
        <v>3</v>
      </c>
      <c r="B69" s="501" t="s">
        <v>543</v>
      </c>
      <c r="C69" s="501">
        <v>4</v>
      </c>
      <c r="D69" s="931" t="s">
        <v>827</v>
      </c>
      <c r="E69" s="932"/>
      <c r="F69" s="933"/>
    </row>
    <row r="70" spans="1:9">
      <c r="A70" s="554">
        <v>4</v>
      </c>
      <c r="B70" s="247" t="s">
        <v>544</v>
      </c>
      <c r="C70" s="501">
        <v>5</v>
      </c>
      <c r="D70" s="931" t="s">
        <v>828</v>
      </c>
      <c r="E70" s="932"/>
      <c r="F70" s="933"/>
    </row>
    <row r="71" spans="1:9">
      <c r="A71" s="554">
        <v>5</v>
      </c>
      <c r="B71" s="246" t="s">
        <v>545</v>
      </c>
      <c r="C71" s="245">
        <v>9</v>
      </c>
      <c r="D71" s="931" t="s">
        <v>829</v>
      </c>
      <c r="E71" s="932"/>
      <c r="F71" s="933"/>
    </row>
    <row r="72" spans="1:9">
      <c r="A72" s="565">
        <v>6</v>
      </c>
      <c r="B72" s="244" t="s">
        <v>546</v>
      </c>
      <c r="C72" s="244">
        <v>10</v>
      </c>
      <c r="D72" s="931" t="s">
        <v>830</v>
      </c>
      <c r="E72" s="932"/>
      <c r="F72" s="933"/>
    </row>
    <row r="73" spans="1:9" ht="12.75" thickBot="1">
      <c r="A73" s="566">
        <v>7</v>
      </c>
      <c r="B73" s="567" t="s">
        <v>547</v>
      </c>
      <c r="C73" s="568">
        <v>12</v>
      </c>
      <c r="D73" s="934" t="s">
        <v>831</v>
      </c>
      <c r="E73" s="935"/>
      <c r="F73" s="936"/>
    </row>
    <row r="74" spans="1:9" ht="12.75" thickTop="1"/>
    <row r="76" spans="1:9" ht="27" customHeight="1"/>
    <row r="106" spans="1:11" ht="12.75" thickBot="1">
      <c r="A106" s="930" t="s">
        <v>548</v>
      </c>
      <c r="B106" s="930"/>
      <c r="C106" s="930"/>
      <c r="D106" s="930"/>
      <c r="E106" s="930"/>
      <c r="F106" s="930"/>
      <c r="G106" s="930"/>
      <c r="H106" s="930"/>
      <c r="I106" s="930"/>
      <c r="J106" s="930"/>
      <c r="K106" s="930"/>
    </row>
    <row r="107" spans="1:11" ht="13.5" thickBot="1">
      <c r="A107" s="243" t="s">
        <v>549</v>
      </c>
      <c r="B107" s="242" t="s">
        <v>246</v>
      </c>
      <c r="C107" s="242" t="s">
        <v>245</v>
      </c>
      <c r="D107" s="242" t="s">
        <v>244</v>
      </c>
      <c r="E107" s="242" t="s">
        <v>550</v>
      </c>
      <c r="F107" s="242" t="s">
        <v>243</v>
      </c>
      <c r="G107" s="242" t="s">
        <v>242</v>
      </c>
      <c r="H107" s="242" t="s">
        <v>241</v>
      </c>
      <c r="I107" s="241" t="s">
        <v>240</v>
      </c>
      <c r="J107" s="241" t="s">
        <v>239</v>
      </c>
      <c r="K107" s="241" t="s">
        <v>238</v>
      </c>
    </row>
    <row r="108" spans="1:11" ht="13.5" thickBot="1">
      <c r="A108" s="233" t="s">
        <v>237</v>
      </c>
      <c r="B108" s="237" t="s">
        <v>236</v>
      </c>
      <c r="C108" s="230" t="s">
        <v>235</v>
      </c>
      <c r="D108" s="230" t="s">
        <v>218</v>
      </c>
      <c r="E108" s="230" t="s">
        <v>234</v>
      </c>
      <c r="F108" s="230" t="s">
        <v>233</v>
      </c>
      <c r="G108" s="230" t="s">
        <v>232</v>
      </c>
      <c r="H108" s="230" t="s">
        <v>231</v>
      </c>
      <c r="I108" s="236" t="s">
        <v>230</v>
      </c>
      <c r="J108" s="236" t="s">
        <v>229</v>
      </c>
      <c r="K108" s="236" t="s">
        <v>228</v>
      </c>
    </row>
    <row r="109" spans="1:11" ht="27" thickBot="1">
      <c r="A109" s="240" t="s">
        <v>227</v>
      </c>
      <c r="B109" s="237" t="s">
        <v>226</v>
      </c>
      <c r="C109" s="230" t="s">
        <v>225</v>
      </c>
      <c r="D109" s="230" t="s">
        <v>224</v>
      </c>
      <c r="E109" s="230" t="s">
        <v>223</v>
      </c>
      <c r="F109" s="230" t="s">
        <v>222</v>
      </c>
      <c r="G109" s="230" t="s">
        <v>221</v>
      </c>
      <c r="H109" s="230" t="s">
        <v>220</v>
      </c>
      <c r="I109" s="236" t="s">
        <v>219</v>
      </c>
      <c r="J109" s="236" t="s">
        <v>218</v>
      </c>
      <c r="K109" s="236" t="s">
        <v>217</v>
      </c>
    </row>
    <row r="110" spans="1:11" ht="27" thickBot="1">
      <c r="A110" s="239" t="s">
        <v>216</v>
      </c>
      <c r="B110" s="237" t="s">
        <v>215</v>
      </c>
      <c r="C110" s="230" t="s">
        <v>214</v>
      </c>
      <c r="D110" s="227"/>
      <c r="E110" s="230" t="s">
        <v>213</v>
      </c>
      <c r="F110" s="230" t="s">
        <v>212</v>
      </c>
      <c r="G110" s="230" t="s">
        <v>211</v>
      </c>
      <c r="H110" s="230" t="s">
        <v>210</v>
      </c>
      <c r="I110" s="236" t="s">
        <v>209</v>
      </c>
      <c r="J110" s="236" t="s">
        <v>208</v>
      </c>
      <c r="K110" s="236" t="s">
        <v>207</v>
      </c>
    </row>
    <row r="111" spans="1:11" ht="17.25" thickBot="1">
      <c r="A111" s="238" t="s">
        <v>206</v>
      </c>
      <c r="B111" s="237" t="s">
        <v>205</v>
      </c>
      <c r="C111" s="230" t="s">
        <v>204</v>
      </c>
      <c r="D111" s="227"/>
      <c r="E111" s="230" t="s">
        <v>551</v>
      </c>
      <c r="F111" s="227"/>
      <c r="G111" s="230" t="s">
        <v>203</v>
      </c>
      <c r="H111" s="230" t="s">
        <v>202</v>
      </c>
      <c r="I111" s="236" t="s">
        <v>201</v>
      </c>
      <c r="J111" s="230" t="s">
        <v>196</v>
      </c>
      <c r="K111" s="230"/>
    </row>
    <row r="112" spans="1:11" ht="17.25" thickBot="1">
      <c r="A112" s="235" t="s">
        <v>200</v>
      </c>
      <c r="B112" s="232" t="s">
        <v>199</v>
      </c>
      <c r="C112" s="230" t="s">
        <v>198</v>
      </c>
      <c r="D112" s="227"/>
      <c r="E112" s="230" t="s">
        <v>197</v>
      </c>
      <c r="F112" s="227"/>
      <c r="G112" s="227"/>
      <c r="H112" s="227"/>
      <c r="I112" s="230" t="s">
        <v>196</v>
      </c>
      <c r="J112" s="230"/>
      <c r="K112" s="230"/>
    </row>
    <row r="113" spans="1:11" ht="24.75" thickBot="1">
      <c r="A113" s="234" t="s">
        <v>195</v>
      </c>
      <c r="B113" s="232" t="s">
        <v>194</v>
      </c>
      <c r="C113" s="230" t="s">
        <v>193</v>
      </c>
      <c r="D113" s="227"/>
      <c r="E113" s="230" t="s">
        <v>552</v>
      </c>
      <c r="F113" s="227"/>
      <c r="G113" s="227"/>
      <c r="H113" s="227"/>
      <c r="I113" s="226"/>
      <c r="J113" s="226"/>
      <c r="K113" s="226"/>
    </row>
    <row r="114" spans="1:11" ht="24.75" thickBot="1">
      <c r="A114" s="233" t="s">
        <v>192</v>
      </c>
      <c r="B114" s="232" t="s">
        <v>191</v>
      </c>
      <c r="C114" s="230" t="s">
        <v>190</v>
      </c>
      <c r="D114" s="227"/>
      <c r="E114" s="230" t="s">
        <v>189</v>
      </c>
      <c r="F114" s="227"/>
      <c r="G114" s="227"/>
      <c r="H114" s="227"/>
      <c r="I114" s="226"/>
      <c r="J114" s="226"/>
      <c r="K114" s="226"/>
    </row>
    <row r="115" spans="1:11" ht="17.25" thickBot="1">
      <c r="A115" s="234" t="s">
        <v>188</v>
      </c>
      <c r="B115" s="232" t="s">
        <v>187</v>
      </c>
      <c r="C115" s="230" t="s">
        <v>186</v>
      </c>
      <c r="D115" s="227"/>
      <c r="E115" s="227"/>
      <c r="F115" s="227"/>
      <c r="G115" s="227"/>
      <c r="H115" s="227"/>
      <c r="I115" s="226"/>
      <c r="J115" s="226"/>
      <c r="K115" s="226"/>
    </row>
    <row r="116" spans="1:11" ht="17.25" thickBot="1">
      <c r="A116" s="233" t="s">
        <v>185</v>
      </c>
      <c r="B116" s="232" t="s">
        <v>184</v>
      </c>
      <c r="C116" s="230" t="s">
        <v>183</v>
      </c>
      <c r="D116" s="227"/>
      <c r="E116" s="227"/>
      <c r="F116" s="227"/>
      <c r="G116" s="227"/>
      <c r="H116" s="227"/>
      <c r="I116" s="226"/>
      <c r="J116" s="226"/>
      <c r="K116" s="226"/>
    </row>
    <row r="117" spans="1:11" ht="17.25" thickBot="1">
      <c r="A117" s="229"/>
      <c r="B117" s="232" t="s">
        <v>182</v>
      </c>
      <c r="C117" s="230" t="s">
        <v>181</v>
      </c>
      <c r="D117" s="227"/>
      <c r="E117" s="227"/>
      <c r="F117" s="227"/>
      <c r="G117" s="227"/>
      <c r="H117" s="227"/>
      <c r="I117" s="226"/>
      <c r="J117" s="226"/>
      <c r="K117" s="226"/>
    </row>
    <row r="118" spans="1:11" ht="17.25" thickBot="1">
      <c r="A118" s="229"/>
      <c r="B118" s="231" t="s">
        <v>180</v>
      </c>
      <c r="C118" s="230" t="s">
        <v>179</v>
      </c>
      <c r="D118" s="227"/>
      <c r="E118" s="227"/>
      <c r="F118" s="227"/>
      <c r="G118" s="227"/>
      <c r="H118" s="227"/>
      <c r="I118" s="226"/>
      <c r="J118" s="226"/>
      <c r="K118" s="226"/>
    </row>
    <row r="119" spans="1:11" ht="17.25" thickBot="1">
      <c r="A119" s="229"/>
      <c r="B119" s="231" t="s">
        <v>178</v>
      </c>
      <c r="C119" s="230" t="s">
        <v>177</v>
      </c>
      <c r="D119" s="227"/>
      <c r="E119" s="227"/>
      <c r="F119" s="227"/>
      <c r="G119" s="227"/>
      <c r="H119" s="227"/>
      <c r="I119" s="226"/>
      <c r="J119" s="226"/>
      <c r="K119" s="226"/>
    </row>
    <row r="120" spans="1:11" ht="17.25" thickBot="1">
      <c r="A120" s="229"/>
      <c r="B120" s="228" t="s">
        <v>176</v>
      </c>
      <c r="C120" s="227"/>
      <c r="D120" s="227"/>
      <c r="E120" s="227"/>
      <c r="F120" s="227"/>
      <c r="G120" s="227"/>
      <c r="H120" s="227"/>
      <c r="I120" s="226"/>
      <c r="J120" s="226"/>
      <c r="K120" s="226"/>
    </row>
    <row r="121" spans="1:11" ht="17.25" thickBot="1">
      <c r="A121" s="229"/>
      <c r="B121" s="228" t="s">
        <v>175</v>
      </c>
      <c r="C121" s="227"/>
      <c r="D121" s="227"/>
      <c r="E121" s="227"/>
      <c r="F121" s="227"/>
      <c r="G121" s="227"/>
      <c r="H121" s="227"/>
      <c r="I121" s="226"/>
      <c r="J121" s="226"/>
      <c r="K121" s="226"/>
    </row>
    <row r="122" spans="1:11" ht="17.25" thickBot="1">
      <c r="A122" s="229"/>
      <c r="B122" s="228" t="s">
        <v>174</v>
      </c>
      <c r="C122" s="227"/>
      <c r="D122" s="227"/>
      <c r="E122" s="227"/>
      <c r="F122" s="227"/>
      <c r="G122" s="227"/>
      <c r="H122" s="227"/>
      <c r="I122" s="226"/>
      <c r="J122" s="226"/>
      <c r="K122" s="226"/>
    </row>
    <row r="123" spans="1:11" ht="17.25" thickBot="1">
      <c r="A123" s="229"/>
      <c r="B123" s="228" t="s">
        <v>173</v>
      </c>
      <c r="C123" s="227"/>
      <c r="D123" s="227"/>
      <c r="E123" s="227"/>
      <c r="F123" s="227"/>
      <c r="G123" s="227"/>
      <c r="H123" s="227"/>
      <c r="I123" s="226"/>
      <c r="J123" s="226"/>
      <c r="K123" s="226"/>
    </row>
    <row r="124" spans="1:11" ht="17.25" thickBot="1">
      <c r="A124" s="229"/>
      <c r="B124" s="228" t="s">
        <v>172</v>
      </c>
      <c r="C124" s="227"/>
      <c r="D124" s="227"/>
      <c r="E124" s="227"/>
      <c r="F124" s="227"/>
      <c r="G124" s="227"/>
      <c r="H124" s="227"/>
      <c r="I124" s="226"/>
      <c r="J124" s="226"/>
      <c r="K124" s="226"/>
    </row>
    <row r="125" spans="1:11" ht="17.25" thickBot="1">
      <c r="A125" s="229"/>
      <c r="B125" s="228" t="s">
        <v>171</v>
      </c>
      <c r="C125" s="227"/>
      <c r="D125" s="227"/>
      <c r="E125" s="227"/>
      <c r="F125" s="227"/>
      <c r="G125" s="227"/>
      <c r="H125" s="227"/>
      <c r="I125" s="226"/>
      <c r="J125" s="226"/>
      <c r="K125" s="226"/>
    </row>
    <row r="126" spans="1:11" ht="17.25" thickBot="1">
      <c r="A126" s="229"/>
      <c r="B126" s="228" t="s">
        <v>170</v>
      </c>
      <c r="C126" s="227"/>
      <c r="D126" s="227"/>
      <c r="E126" s="227"/>
      <c r="F126" s="227"/>
      <c r="G126" s="227"/>
      <c r="H126" s="227"/>
      <c r="I126" s="226"/>
      <c r="J126" s="226"/>
      <c r="K126" s="226"/>
    </row>
    <row r="127" spans="1:11" ht="17.25" thickBot="1">
      <c r="A127" s="229"/>
      <c r="B127" s="228" t="s">
        <v>169</v>
      </c>
      <c r="C127" s="227"/>
      <c r="D127" s="227"/>
      <c r="E127" s="227"/>
      <c r="F127" s="227"/>
      <c r="G127" s="227"/>
      <c r="H127" s="227"/>
      <c r="I127" s="226"/>
      <c r="J127" s="226"/>
      <c r="K127" s="226"/>
    </row>
    <row r="128" spans="1:11" ht="17.25" thickBot="1">
      <c r="A128" s="229"/>
      <c r="B128" s="228" t="s">
        <v>168</v>
      </c>
      <c r="C128" s="227"/>
      <c r="D128" s="227"/>
      <c r="E128" s="227"/>
      <c r="F128" s="227"/>
      <c r="G128" s="227"/>
      <c r="H128" s="227"/>
      <c r="I128" s="226"/>
      <c r="J128" s="226"/>
      <c r="K128" s="226"/>
    </row>
    <row r="129" spans="1:11" ht="12.75">
      <c r="A129" s="924" t="s">
        <v>167</v>
      </c>
      <c r="B129" s="924"/>
      <c r="C129" s="924"/>
      <c r="D129" s="924"/>
      <c r="E129" s="226"/>
      <c r="F129" s="226"/>
      <c r="G129" s="226"/>
      <c r="H129" s="226"/>
      <c r="I129" s="226"/>
      <c r="J129" s="226"/>
      <c r="K129" s="226"/>
    </row>
  </sheetData>
  <mergeCells count="41">
    <mergeCell ref="A129:D129"/>
    <mergeCell ref="D56:E56"/>
    <mergeCell ref="D57:E57"/>
    <mergeCell ref="D58:E58"/>
    <mergeCell ref="D59:E59"/>
    <mergeCell ref="D66:F66"/>
    <mergeCell ref="A106:K106"/>
    <mergeCell ref="D67:F67"/>
    <mergeCell ref="D68:F68"/>
    <mergeCell ref="D69:F69"/>
    <mergeCell ref="D70:F70"/>
    <mergeCell ref="D71:F71"/>
    <mergeCell ref="D72:F72"/>
    <mergeCell ref="D73:F73"/>
    <mergeCell ref="D55:E55"/>
    <mergeCell ref="K34:K35"/>
    <mergeCell ref="D44:E44"/>
    <mergeCell ref="D45:E45"/>
    <mergeCell ref="D46:E46"/>
    <mergeCell ref="D47:E47"/>
    <mergeCell ref="D48:E48"/>
    <mergeCell ref="D54:E54"/>
    <mergeCell ref="G34:G36"/>
    <mergeCell ref="H34:H35"/>
    <mergeCell ref="I34:J35"/>
    <mergeCell ref="I36:J36"/>
    <mergeCell ref="L8:N8"/>
    <mergeCell ref="A1:N1"/>
    <mergeCell ref="A8:A9"/>
    <mergeCell ref="B8:F8"/>
    <mergeCell ref="G8:G9"/>
    <mergeCell ref="H8:H9"/>
    <mergeCell ref="I8:I9"/>
    <mergeCell ref="J8:J9"/>
    <mergeCell ref="K8:K9"/>
    <mergeCell ref="A37:A38"/>
    <mergeCell ref="D37:D38"/>
    <mergeCell ref="E37:E38"/>
    <mergeCell ref="A34:A35"/>
    <mergeCell ref="D34:D35"/>
    <mergeCell ref="E34:E35"/>
  </mergeCells>
  <phoneticPr fontId="5" type="noConversion"/>
  <conditionalFormatting sqref="K16">
    <cfRule type="cellIs" dxfId="20" priority="2" operator="greaterThan">
      <formula>$N$16</formula>
    </cfRule>
  </conditionalFormatting>
  <conditionalFormatting sqref="K17">
    <cfRule type="cellIs" dxfId="19" priority="1" operator="greaterThan">
      <formula>$N$17</formula>
    </cfRule>
  </conditionalFormatting>
  <conditionalFormatting sqref="K10:K15">
    <cfRule type="cellIs" dxfId="18" priority="892" operator="greaterThan">
      <formula>$N$14</formula>
    </cfRule>
  </conditionalFormatting>
  <dataValidations count="2">
    <dataValidation type="list" allowBlank="1" showInputMessage="1" showErrorMessage="1" sqref="B6">
      <formula1>"强测试,弱测试"</formula1>
    </dataValidation>
    <dataValidation type="list" allowBlank="1" showInputMessage="1" showErrorMessage="1" sqref="D6">
      <formula1>"内部验收,外部验收"</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92" r:id="rId4" name="Button 4">
              <controlPr defaultSize="0" print="0" autoFill="0" autoPict="0" macro="[0]!Button14_Click_Test_delete">
                <anchor moveWithCells="1">
                  <from>
                    <xdr:col>0</xdr:col>
                    <xdr:colOff>85725</xdr:colOff>
                    <xdr:row>20</xdr:row>
                    <xdr:rowOff>28575</xdr:rowOff>
                  </from>
                  <to>
                    <xdr:col>1</xdr:col>
                    <xdr:colOff>66675</xdr:colOff>
                    <xdr:row>21</xdr:row>
                    <xdr:rowOff>133350</xdr:rowOff>
                  </to>
                </anchor>
              </controlPr>
            </control>
          </mc:Choice>
        </mc:AlternateContent>
        <mc:AlternateContent xmlns:mc="http://schemas.openxmlformats.org/markup-compatibility/2006">
          <mc:Choice Requires="x14">
            <control shapeId="63491" r:id="rId5" name="Button 3">
              <controlPr defaultSize="0" print="0" autoFill="0" autoPict="0" macro="[0]!button8_Click_Test_add">
                <anchor moveWithCells="1">
                  <from>
                    <xdr:col>0</xdr:col>
                    <xdr:colOff>95250</xdr:colOff>
                    <xdr:row>18</xdr:row>
                    <xdr:rowOff>28575</xdr:rowOff>
                  </from>
                  <to>
                    <xdr:col>1</xdr:col>
                    <xdr:colOff>76200</xdr:colOff>
                    <xdr:row>19</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7"/>
  </sheetPr>
  <dimension ref="A1:Q72"/>
  <sheetViews>
    <sheetView showGridLines="0" workbookViewId="0">
      <selection sqref="A1:P1"/>
    </sheetView>
  </sheetViews>
  <sheetFormatPr defaultRowHeight="12"/>
  <cols>
    <col min="1" max="1" width="18.125" style="152" customWidth="1"/>
    <col min="2" max="2" width="17.125" style="152" customWidth="1"/>
    <col min="3" max="3" width="13.875" style="254" customWidth="1"/>
    <col min="4" max="4" width="12.25" style="254" customWidth="1"/>
    <col min="5" max="5" width="12.625" style="152" customWidth="1"/>
    <col min="6" max="6" width="13.625" style="152" customWidth="1"/>
    <col min="7" max="7" width="11.75" style="152" customWidth="1"/>
    <col min="8" max="8" width="13.25" style="152" customWidth="1"/>
    <col min="9" max="9" width="11.625" style="152" customWidth="1"/>
    <col min="10" max="10" width="12.625" style="152" customWidth="1"/>
    <col min="11" max="11" width="9.5" style="152" customWidth="1"/>
    <col min="12" max="12" width="10.75" style="152" customWidth="1"/>
    <col min="13" max="13" width="8" style="152" customWidth="1"/>
    <col min="14" max="15" width="9" style="152"/>
    <col min="16" max="16" width="9.375" style="152" customWidth="1"/>
    <col min="17" max="17" width="9" style="152"/>
    <col min="18" max="18" width="7.5" style="152" customWidth="1"/>
    <col min="19" max="19" width="9.875" style="152" customWidth="1"/>
    <col min="20" max="256" width="9" style="152"/>
    <col min="257" max="257" width="14.375" style="152" customWidth="1"/>
    <col min="258" max="258" width="11.875" style="152" customWidth="1"/>
    <col min="259" max="259" width="13.875" style="152" customWidth="1"/>
    <col min="260" max="260" width="12.25" style="152" customWidth="1"/>
    <col min="261" max="261" width="12.625" style="152" customWidth="1"/>
    <col min="262" max="262" width="13.625" style="152" customWidth="1"/>
    <col min="263" max="263" width="11.75" style="152" customWidth="1"/>
    <col min="264" max="264" width="13.25" style="152" customWidth="1"/>
    <col min="265" max="265" width="11.625" style="152" customWidth="1"/>
    <col min="266" max="266" width="12.625" style="152" customWidth="1"/>
    <col min="267" max="267" width="9.5" style="152" customWidth="1"/>
    <col min="268" max="268" width="10.75" style="152" customWidth="1"/>
    <col min="269" max="269" width="8" style="152" customWidth="1"/>
    <col min="270" max="271" width="9" style="152"/>
    <col min="272" max="272" width="9.375" style="152" customWidth="1"/>
    <col min="273" max="273" width="9" style="152"/>
    <col min="274" max="274" width="7.5" style="152" customWidth="1"/>
    <col min="275" max="275" width="9.875" style="152" customWidth="1"/>
    <col min="276" max="512" width="9" style="152"/>
    <col min="513" max="513" width="14.375" style="152" customWidth="1"/>
    <col min="514" max="514" width="11.875" style="152" customWidth="1"/>
    <col min="515" max="515" width="13.875" style="152" customWidth="1"/>
    <col min="516" max="516" width="12.25" style="152" customWidth="1"/>
    <col min="517" max="517" width="12.625" style="152" customWidth="1"/>
    <col min="518" max="518" width="13.625" style="152" customWidth="1"/>
    <col min="519" max="519" width="11.75" style="152" customWidth="1"/>
    <col min="520" max="520" width="13.25" style="152" customWidth="1"/>
    <col min="521" max="521" width="11.625" style="152" customWidth="1"/>
    <col min="522" max="522" width="12.625" style="152" customWidth="1"/>
    <col min="523" max="523" width="9.5" style="152" customWidth="1"/>
    <col min="524" max="524" width="10.75" style="152" customWidth="1"/>
    <col min="525" max="525" width="8" style="152" customWidth="1"/>
    <col min="526" max="527" width="9" style="152"/>
    <col min="528" max="528" width="9.375" style="152" customWidth="1"/>
    <col min="529" max="529" width="9" style="152"/>
    <col min="530" max="530" width="7.5" style="152" customWidth="1"/>
    <col min="531" max="531" width="9.875" style="152" customWidth="1"/>
    <col min="532" max="768" width="9" style="152"/>
    <col min="769" max="769" width="14.375" style="152" customWidth="1"/>
    <col min="770" max="770" width="11.875" style="152" customWidth="1"/>
    <col min="771" max="771" width="13.875" style="152" customWidth="1"/>
    <col min="772" max="772" width="12.25" style="152" customWidth="1"/>
    <col min="773" max="773" width="12.625" style="152" customWidth="1"/>
    <col min="774" max="774" width="13.625" style="152" customWidth="1"/>
    <col min="775" max="775" width="11.75" style="152" customWidth="1"/>
    <col min="776" max="776" width="13.25" style="152" customWidth="1"/>
    <col min="777" max="777" width="11.625" style="152" customWidth="1"/>
    <col min="778" max="778" width="12.625" style="152" customWidth="1"/>
    <col min="779" max="779" width="9.5" style="152" customWidth="1"/>
    <col min="780" max="780" width="10.75" style="152" customWidth="1"/>
    <col min="781" max="781" width="8" style="152" customWidth="1"/>
    <col min="782" max="783" width="9" style="152"/>
    <col min="784" max="784" width="9.375" style="152" customWidth="1"/>
    <col min="785" max="785" width="9" style="152"/>
    <col min="786" max="786" width="7.5" style="152" customWidth="1"/>
    <col min="787" max="787" width="9.875" style="152" customWidth="1"/>
    <col min="788" max="1024" width="9" style="152"/>
    <col min="1025" max="1025" width="14.375" style="152" customWidth="1"/>
    <col min="1026" max="1026" width="11.875" style="152" customWidth="1"/>
    <col min="1027" max="1027" width="13.875" style="152" customWidth="1"/>
    <col min="1028" max="1028" width="12.25" style="152" customWidth="1"/>
    <col min="1029" max="1029" width="12.625" style="152" customWidth="1"/>
    <col min="1030" max="1030" width="13.625" style="152" customWidth="1"/>
    <col min="1031" max="1031" width="11.75" style="152" customWidth="1"/>
    <col min="1032" max="1032" width="13.25" style="152" customWidth="1"/>
    <col min="1033" max="1033" width="11.625" style="152" customWidth="1"/>
    <col min="1034" max="1034" width="12.625" style="152" customWidth="1"/>
    <col min="1035" max="1035" width="9.5" style="152" customWidth="1"/>
    <col min="1036" max="1036" width="10.75" style="152" customWidth="1"/>
    <col min="1037" max="1037" width="8" style="152" customWidth="1"/>
    <col min="1038" max="1039" width="9" style="152"/>
    <col min="1040" max="1040" width="9.375" style="152" customWidth="1"/>
    <col min="1041" max="1041" width="9" style="152"/>
    <col min="1042" max="1042" width="7.5" style="152" customWidth="1"/>
    <col min="1043" max="1043" width="9.875" style="152" customWidth="1"/>
    <col min="1044" max="1280" width="9" style="152"/>
    <col min="1281" max="1281" width="14.375" style="152" customWidth="1"/>
    <col min="1282" max="1282" width="11.875" style="152" customWidth="1"/>
    <col min="1283" max="1283" width="13.875" style="152" customWidth="1"/>
    <col min="1284" max="1284" width="12.25" style="152" customWidth="1"/>
    <col min="1285" max="1285" width="12.625" style="152" customWidth="1"/>
    <col min="1286" max="1286" width="13.625" style="152" customWidth="1"/>
    <col min="1287" max="1287" width="11.75" style="152" customWidth="1"/>
    <col min="1288" max="1288" width="13.25" style="152" customWidth="1"/>
    <col min="1289" max="1289" width="11.625" style="152" customWidth="1"/>
    <col min="1290" max="1290" width="12.625" style="152" customWidth="1"/>
    <col min="1291" max="1291" width="9.5" style="152" customWidth="1"/>
    <col min="1292" max="1292" width="10.75" style="152" customWidth="1"/>
    <col min="1293" max="1293" width="8" style="152" customWidth="1"/>
    <col min="1294" max="1295" width="9" style="152"/>
    <col min="1296" max="1296" width="9.375" style="152" customWidth="1"/>
    <col min="1297" max="1297" width="9" style="152"/>
    <col min="1298" max="1298" width="7.5" style="152" customWidth="1"/>
    <col min="1299" max="1299" width="9.875" style="152" customWidth="1"/>
    <col min="1300" max="1536" width="9" style="152"/>
    <col min="1537" max="1537" width="14.375" style="152" customWidth="1"/>
    <col min="1538" max="1538" width="11.875" style="152" customWidth="1"/>
    <col min="1539" max="1539" width="13.875" style="152" customWidth="1"/>
    <col min="1540" max="1540" width="12.25" style="152" customWidth="1"/>
    <col min="1541" max="1541" width="12.625" style="152" customWidth="1"/>
    <col min="1542" max="1542" width="13.625" style="152" customWidth="1"/>
    <col min="1543" max="1543" width="11.75" style="152" customWidth="1"/>
    <col min="1544" max="1544" width="13.25" style="152" customWidth="1"/>
    <col min="1545" max="1545" width="11.625" style="152" customWidth="1"/>
    <col min="1546" max="1546" width="12.625" style="152" customWidth="1"/>
    <col min="1547" max="1547" width="9.5" style="152" customWidth="1"/>
    <col min="1548" max="1548" width="10.75" style="152" customWidth="1"/>
    <col min="1549" max="1549" width="8" style="152" customWidth="1"/>
    <col min="1550" max="1551" width="9" style="152"/>
    <col min="1552" max="1552" width="9.375" style="152" customWidth="1"/>
    <col min="1553" max="1553" width="9" style="152"/>
    <col min="1554" max="1554" width="7.5" style="152" customWidth="1"/>
    <col min="1555" max="1555" width="9.875" style="152" customWidth="1"/>
    <col min="1556" max="1792" width="9" style="152"/>
    <col min="1793" max="1793" width="14.375" style="152" customWidth="1"/>
    <col min="1794" max="1794" width="11.875" style="152" customWidth="1"/>
    <col min="1795" max="1795" width="13.875" style="152" customWidth="1"/>
    <col min="1796" max="1796" width="12.25" style="152" customWidth="1"/>
    <col min="1797" max="1797" width="12.625" style="152" customWidth="1"/>
    <col min="1798" max="1798" width="13.625" style="152" customWidth="1"/>
    <col min="1799" max="1799" width="11.75" style="152" customWidth="1"/>
    <col min="1800" max="1800" width="13.25" style="152" customWidth="1"/>
    <col min="1801" max="1801" width="11.625" style="152" customWidth="1"/>
    <col min="1802" max="1802" width="12.625" style="152" customWidth="1"/>
    <col min="1803" max="1803" width="9.5" style="152" customWidth="1"/>
    <col min="1804" max="1804" width="10.75" style="152" customWidth="1"/>
    <col min="1805" max="1805" width="8" style="152" customWidth="1"/>
    <col min="1806" max="1807" width="9" style="152"/>
    <col min="1808" max="1808" width="9.375" style="152" customWidth="1"/>
    <col min="1809" max="1809" width="9" style="152"/>
    <col min="1810" max="1810" width="7.5" style="152" customWidth="1"/>
    <col min="1811" max="1811" width="9.875" style="152" customWidth="1"/>
    <col min="1812" max="2048" width="9" style="152"/>
    <col min="2049" max="2049" width="14.375" style="152" customWidth="1"/>
    <col min="2050" max="2050" width="11.875" style="152" customWidth="1"/>
    <col min="2051" max="2051" width="13.875" style="152" customWidth="1"/>
    <col min="2052" max="2052" width="12.25" style="152" customWidth="1"/>
    <col min="2053" max="2053" width="12.625" style="152" customWidth="1"/>
    <col min="2054" max="2054" width="13.625" style="152" customWidth="1"/>
    <col min="2055" max="2055" width="11.75" style="152" customWidth="1"/>
    <col min="2056" max="2056" width="13.25" style="152" customWidth="1"/>
    <col min="2057" max="2057" width="11.625" style="152" customWidth="1"/>
    <col min="2058" max="2058" width="12.625" style="152" customWidth="1"/>
    <col min="2059" max="2059" width="9.5" style="152" customWidth="1"/>
    <col min="2060" max="2060" width="10.75" style="152" customWidth="1"/>
    <col min="2061" max="2061" width="8" style="152" customWidth="1"/>
    <col min="2062" max="2063" width="9" style="152"/>
    <col min="2064" max="2064" width="9.375" style="152" customWidth="1"/>
    <col min="2065" max="2065" width="9" style="152"/>
    <col min="2066" max="2066" width="7.5" style="152" customWidth="1"/>
    <col min="2067" max="2067" width="9.875" style="152" customWidth="1"/>
    <col min="2068" max="2304" width="9" style="152"/>
    <col min="2305" max="2305" width="14.375" style="152" customWidth="1"/>
    <col min="2306" max="2306" width="11.875" style="152" customWidth="1"/>
    <col min="2307" max="2307" width="13.875" style="152" customWidth="1"/>
    <col min="2308" max="2308" width="12.25" style="152" customWidth="1"/>
    <col min="2309" max="2309" width="12.625" style="152" customWidth="1"/>
    <col min="2310" max="2310" width="13.625" style="152" customWidth="1"/>
    <col min="2311" max="2311" width="11.75" style="152" customWidth="1"/>
    <col min="2312" max="2312" width="13.25" style="152" customWidth="1"/>
    <col min="2313" max="2313" width="11.625" style="152" customWidth="1"/>
    <col min="2314" max="2314" width="12.625" style="152" customWidth="1"/>
    <col min="2315" max="2315" width="9.5" style="152" customWidth="1"/>
    <col min="2316" max="2316" width="10.75" style="152" customWidth="1"/>
    <col min="2317" max="2317" width="8" style="152" customWidth="1"/>
    <col min="2318" max="2319" width="9" style="152"/>
    <col min="2320" max="2320" width="9.375" style="152" customWidth="1"/>
    <col min="2321" max="2321" width="9" style="152"/>
    <col min="2322" max="2322" width="7.5" style="152" customWidth="1"/>
    <col min="2323" max="2323" width="9.875" style="152" customWidth="1"/>
    <col min="2324" max="2560" width="9" style="152"/>
    <col min="2561" max="2561" width="14.375" style="152" customWidth="1"/>
    <col min="2562" max="2562" width="11.875" style="152" customWidth="1"/>
    <col min="2563" max="2563" width="13.875" style="152" customWidth="1"/>
    <col min="2564" max="2564" width="12.25" style="152" customWidth="1"/>
    <col min="2565" max="2565" width="12.625" style="152" customWidth="1"/>
    <col min="2566" max="2566" width="13.625" style="152" customWidth="1"/>
    <col min="2567" max="2567" width="11.75" style="152" customWidth="1"/>
    <col min="2568" max="2568" width="13.25" style="152" customWidth="1"/>
    <col min="2569" max="2569" width="11.625" style="152" customWidth="1"/>
    <col min="2570" max="2570" width="12.625" style="152" customWidth="1"/>
    <col min="2571" max="2571" width="9.5" style="152" customWidth="1"/>
    <col min="2572" max="2572" width="10.75" style="152" customWidth="1"/>
    <col min="2573" max="2573" width="8" style="152" customWidth="1"/>
    <col min="2574" max="2575" width="9" style="152"/>
    <col min="2576" max="2576" width="9.375" style="152" customWidth="1"/>
    <col min="2577" max="2577" width="9" style="152"/>
    <col min="2578" max="2578" width="7.5" style="152" customWidth="1"/>
    <col min="2579" max="2579" width="9.875" style="152" customWidth="1"/>
    <col min="2580" max="2816" width="9" style="152"/>
    <col min="2817" max="2817" width="14.375" style="152" customWidth="1"/>
    <col min="2818" max="2818" width="11.875" style="152" customWidth="1"/>
    <col min="2819" max="2819" width="13.875" style="152" customWidth="1"/>
    <col min="2820" max="2820" width="12.25" style="152" customWidth="1"/>
    <col min="2821" max="2821" width="12.625" style="152" customWidth="1"/>
    <col min="2822" max="2822" width="13.625" style="152" customWidth="1"/>
    <col min="2823" max="2823" width="11.75" style="152" customWidth="1"/>
    <col min="2824" max="2824" width="13.25" style="152" customWidth="1"/>
    <col min="2825" max="2825" width="11.625" style="152" customWidth="1"/>
    <col min="2826" max="2826" width="12.625" style="152" customWidth="1"/>
    <col min="2827" max="2827" width="9.5" style="152" customWidth="1"/>
    <col min="2828" max="2828" width="10.75" style="152" customWidth="1"/>
    <col min="2829" max="2829" width="8" style="152" customWidth="1"/>
    <col min="2830" max="2831" width="9" style="152"/>
    <col min="2832" max="2832" width="9.375" style="152" customWidth="1"/>
    <col min="2833" max="2833" width="9" style="152"/>
    <col min="2834" max="2834" width="7.5" style="152" customWidth="1"/>
    <col min="2835" max="2835" width="9.875" style="152" customWidth="1"/>
    <col min="2836" max="3072" width="9" style="152"/>
    <col min="3073" max="3073" width="14.375" style="152" customWidth="1"/>
    <col min="3074" max="3074" width="11.875" style="152" customWidth="1"/>
    <col min="3075" max="3075" width="13.875" style="152" customWidth="1"/>
    <col min="3076" max="3076" width="12.25" style="152" customWidth="1"/>
    <col min="3077" max="3077" width="12.625" style="152" customWidth="1"/>
    <col min="3078" max="3078" width="13.625" style="152" customWidth="1"/>
    <col min="3079" max="3079" width="11.75" style="152" customWidth="1"/>
    <col min="3080" max="3080" width="13.25" style="152" customWidth="1"/>
    <col min="3081" max="3081" width="11.625" style="152" customWidth="1"/>
    <col min="3082" max="3082" width="12.625" style="152" customWidth="1"/>
    <col min="3083" max="3083" width="9.5" style="152" customWidth="1"/>
    <col min="3084" max="3084" width="10.75" style="152" customWidth="1"/>
    <col min="3085" max="3085" width="8" style="152" customWidth="1"/>
    <col min="3086" max="3087" width="9" style="152"/>
    <col min="3088" max="3088" width="9.375" style="152" customWidth="1"/>
    <col min="3089" max="3089" width="9" style="152"/>
    <col min="3090" max="3090" width="7.5" style="152" customWidth="1"/>
    <col min="3091" max="3091" width="9.875" style="152" customWidth="1"/>
    <col min="3092" max="3328" width="9" style="152"/>
    <col min="3329" max="3329" width="14.375" style="152" customWidth="1"/>
    <col min="3330" max="3330" width="11.875" style="152" customWidth="1"/>
    <col min="3331" max="3331" width="13.875" style="152" customWidth="1"/>
    <col min="3332" max="3332" width="12.25" style="152" customWidth="1"/>
    <col min="3333" max="3333" width="12.625" style="152" customWidth="1"/>
    <col min="3334" max="3334" width="13.625" style="152" customWidth="1"/>
    <col min="3335" max="3335" width="11.75" style="152" customWidth="1"/>
    <col min="3336" max="3336" width="13.25" style="152" customWidth="1"/>
    <col min="3337" max="3337" width="11.625" style="152" customWidth="1"/>
    <col min="3338" max="3338" width="12.625" style="152" customWidth="1"/>
    <col min="3339" max="3339" width="9.5" style="152" customWidth="1"/>
    <col min="3340" max="3340" width="10.75" style="152" customWidth="1"/>
    <col min="3341" max="3341" width="8" style="152" customWidth="1"/>
    <col min="3342" max="3343" width="9" style="152"/>
    <col min="3344" max="3344" width="9.375" style="152" customWidth="1"/>
    <col min="3345" max="3345" width="9" style="152"/>
    <col min="3346" max="3346" width="7.5" style="152" customWidth="1"/>
    <col min="3347" max="3347" width="9.875" style="152" customWidth="1"/>
    <col min="3348" max="3584" width="9" style="152"/>
    <col min="3585" max="3585" width="14.375" style="152" customWidth="1"/>
    <col min="3586" max="3586" width="11.875" style="152" customWidth="1"/>
    <col min="3587" max="3587" width="13.875" style="152" customWidth="1"/>
    <col min="3588" max="3588" width="12.25" style="152" customWidth="1"/>
    <col min="3589" max="3589" width="12.625" style="152" customWidth="1"/>
    <col min="3590" max="3590" width="13.625" style="152" customWidth="1"/>
    <col min="3591" max="3591" width="11.75" style="152" customWidth="1"/>
    <col min="3592" max="3592" width="13.25" style="152" customWidth="1"/>
    <col min="3593" max="3593" width="11.625" style="152" customWidth="1"/>
    <col min="3594" max="3594" width="12.625" style="152" customWidth="1"/>
    <col min="3595" max="3595" width="9.5" style="152" customWidth="1"/>
    <col min="3596" max="3596" width="10.75" style="152" customWidth="1"/>
    <col min="3597" max="3597" width="8" style="152" customWidth="1"/>
    <col min="3598" max="3599" width="9" style="152"/>
    <col min="3600" max="3600" width="9.375" style="152" customWidth="1"/>
    <col min="3601" max="3601" width="9" style="152"/>
    <col min="3602" max="3602" width="7.5" style="152" customWidth="1"/>
    <col min="3603" max="3603" width="9.875" style="152" customWidth="1"/>
    <col min="3604" max="3840" width="9" style="152"/>
    <col min="3841" max="3841" width="14.375" style="152" customWidth="1"/>
    <col min="3842" max="3842" width="11.875" style="152" customWidth="1"/>
    <col min="3843" max="3843" width="13.875" style="152" customWidth="1"/>
    <col min="3844" max="3844" width="12.25" style="152" customWidth="1"/>
    <col min="3845" max="3845" width="12.625" style="152" customWidth="1"/>
    <col min="3846" max="3846" width="13.625" style="152" customWidth="1"/>
    <col min="3847" max="3847" width="11.75" style="152" customWidth="1"/>
    <col min="3848" max="3848" width="13.25" style="152" customWidth="1"/>
    <col min="3849" max="3849" width="11.625" style="152" customWidth="1"/>
    <col min="3850" max="3850" width="12.625" style="152" customWidth="1"/>
    <col min="3851" max="3851" width="9.5" style="152" customWidth="1"/>
    <col min="3852" max="3852" width="10.75" style="152" customWidth="1"/>
    <col min="3853" max="3853" width="8" style="152" customWidth="1"/>
    <col min="3854" max="3855" width="9" style="152"/>
    <col min="3856" max="3856" width="9.375" style="152" customWidth="1"/>
    <col min="3857" max="3857" width="9" style="152"/>
    <col min="3858" max="3858" width="7.5" style="152" customWidth="1"/>
    <col min="3859" max="3859" width="9.875" style="152" customWidth="1"/>
    <col min="3860" max="4096" width="9" style="152"/>
    <col min="4097" max="4097" width="14.375" style="152" customWidth="1"/>
    <col min="4098" max="4098" width="11.875" style="152" customWidth="1"/>
    <col min="4099" max="4099" width="13.875" style="152" customWidth="1"/>
    <col min="4100" max="4100" width="12.25" style="152" customWidth="1"/>
    <col min="4101" max="4101" width="12.625" style="152" customWidth="1"/>
    <col min="4102" max="4102" width="13.625" style="152" customWidth="1"/>
    <col min="4103" max="4103" width="11.75" style="152" customWidth="1"/>
    <col min="4104" max="4104" width="13.25" style="152" customWidth="1"/>
    <col min="4105" max="4105" width="11.625" style="152" customWidth="1"/>
    <col min="4106" max="4106" width="12.625" style="152" customWidth="1"/>
    <col min="4107" max="4107" width="9.5" style="152" customWidth="1"/>
    <col min="4108" max="4108" width="10.75" style="152" customWidth="1"/>
    <col min="4109" max="4109" width="8" style="152" customWidth="1"/>
    <col min="4110" max="4111" width="9" style="152"/>
    <col min="4112" max="4112" width="9.375" style="152" customWidth="1"/>
    <col min="4113" max="4113" width="9" style="152"/>
    <col min="4114" max="4114" width="7.5" style="152" customWidth="1"/>
    <col min="4115" max="4115" width="9.875" style="152" customWidth="1"/>
    <col min="4116" max="4352" width="9" style="152"/>
    <col min="4353" max="4353" width="14.375" style="152" customWidth="1"/>
    <col min="4354" max="4354" width="11.875" style="152" customWidth="1"/>
    <col min="4355" max="4355" width="13.875" style="152" customWidth="1"/>
    <col min="4356" max="4356" width="12.25" style="152" customWidth="1"/>
    <col min="4357" max="4357" width="12.625" style="152" customWidth="1"/>
    <col min="4358" max="4358" width="13.625" style="152" customWidth="1"/>
    <col min="4359" max="4359" width="11.75" style="152" customWidth="1"/>
    <col min="4360" max="4360" width="13.25" style="152" customWidth="1"/>
    <col min="4361" max="4361" width="11.625" style="152" customWidth="1"/>
    <col min="4362" max="4362" width="12.625" style="152" customWidth="1"/>
    <col min="4363" max="4363" width="9.5" style="152" customWidth="1"/>
    <col min="4364" max="4364" width="10.75" style="152" customWidth="1"/>
    <col min="4365" max="4365" width="8" style="152" customWidth="1"/>
    <col min="4366" max="4367" width="9" style="152"/>
    <col min="4368" max="4368" width="9.375" style="152" customWidth="1"/>
    <col min="4369" max="4369" width="9" style="152"/>
    <col min="4370" max="4370" width="7.5" style="152" customWidth="1"/>
    <col min="4371" max="4371" width="9.875" style="152" customWidth="1"/>
    <col min="4372" max="4608" width="9" style="152"/>
    <col min="4609" max="4609" width="14.375" style="152" customWidth="1"/>
    <col min="4610" max="4610" width="11.875" style="152" customWidth="1"/>
    <col min="4611" max="4611" width="13.875" style="152" customWidth="1"/>
    <col min="4612" max="4612" width="12.25" style="152" customWidth="1"/>
    <col min="4613" max="4613" width="12.625" style="152" customWidth="1"/>
    <col min="4614" max="4614" width="13.625" style="152" customWidth="1"/>
    <col min="4615" max="4615" width="11.75" style="152" customWidth="1"/>
    <col min="4616" max="4616" width="13.25" style="152" customWidth="1"/>
    <col min="4617" max="4617" width="11.625" style="152" customWidth="1"/>
    <col min="4618" max="4618" width="12.625" style="152" customWidth="1"/>
    <col min="4619" max="4619" width="9.5" style="152" customWidth="1"/>
    <col min="4620" max="4620" width="10.75" style="152" customWidth="1"/>
    <col min="4621" max="4621" width="8" style="152" customWidth="1"/>
    <col min="4622" max="4623" width="9" style="152"/>
    <col min="4624" max="4624" width="9.375" style="152" customWidth="1"/>
    <col min="4625" max="4625" width="9" style="152"/>
    <col min="4626" max="4626" width="7.5" style="152" customWidth="1"/>
    <col min="4627" max="4627" width="9.875" style="152" customWidth="1"/>
    <col min="4628" max="4864" width="9" style="152"/>
    <col min="4865" max="4865" width="14.375" style="152" customWidth="1"/>
    <col min="4866" max="4866" width="11.875" style="152" customWidth="1"/>
    <col min="4867" max="4867" width="13.875" style="152" customWidth="1"/>
    <col min="4868" max="4868" width="12.25" style="152" customWidth="1"/>
    <col min="4869" max="4869" width="12.625" style="152" customWidth="1"/>
    <col min="4870" max="4870" width="13.625" style="152" customWidth="1"/>
    <col min="4871" max="4871" width="11.75" style="152" customWidth="1"/>
    <col min="4872" max="4872" width="13.25" style="152" customWidth="1"/>
    <col min="4873" max="4873" width="11.625" style="152" customWidth="1"/>
    <col min="4874" max="4874" width="12.625" style="152" customWidth="1"/>
    <col min="4875" max="4875" width="9.5" style="152" customWidth="1"/>
    <col min="4876" max="4876" width="10.75" style="152" customWidth="1"/>
    <col min="4877" max="4877" width="8" style="152" customWidth="1"/>
    <col min="4878" max="4879" width="9" style="152"/>
    <col min="4880" max="4880" width="9.375" style="152" customWidth="1"/>
    <col min="4881" max="4881" width="9" style="152"/>
    <col min="4882" max="4882" width="7.5" style="152" customWidth="1"/>
    <col min="4883" max="4883" width="9.875" style="152" customWidth="1"/>
    <col min="4884" max="5120" width="9" style="152"/>
    <col min="5121" max="5121" width="14.375" style="152" customWidth="1"/>
    <col min="5122" max="5122" width="11.875" style="152" customWidth="1"/>
    <col min="5123" max="5123" width="13.875" style="152" customWidth="1"/>
    <col min="5124" max="5124" width="12.25" style="152" customWidth="1"/>
    <col min="5125" max="5125" width="12.625" style="152" customWidth="1"/>
    <col min="5126" max="5126" width="13.625" style="152" customWidth="1"/>
    <col min="5127" max="5127" width="11.75" style="152" customWidth="1"/>
    <col min="5128" max="5128" width="13.25" style="152" customWidth="1"/>
    <col min="5129" max="5129" width="11.625" style="152" customWidth="1"/>
    <col min="5130" max="5130" width="12.625" style="152" customWidth="1"/>
    <col min="5131" max="5131" width="9.5" style="152" customWidth="1"/>
    <col min="5132" max="5132" width="10.75" style="152" customWidth="1"/>
    <col min="5133" max="5133" width="8" style="152" customWidth="1"/>
    <col min="5134" max="5135" width="9" style="152"/>
    <col min="5136" max="5136" width="9.375" style="152" customWidth="1"/>
    <col min="5137" max="5137" width="9" style="152"/>
    <col min="5138" max="5138" width="7.5" style="152" customWidth="1"/>
    <col min="5139" max="5139" width="9.875" style="152" customWidth="1"/>
    <col min="5140" max="5376" width="9" style="152"/>
    <col min="5377" max="5377" width="14.375" style="152" customWidth="1"/>
    <col min="5378" max="5378" width="11.875" style="152" customWidth="1"/>
    <col min="5379" max="5379" width="13.875" style="152" customWidth="1"/>
    <col min="5380" max="5380" width="12.25" style="152" customWidth="1"/>
    <col min="5381" max="5381" width="12.625" style="152" customWidth="1"/>
    <col min="5382" max="5382" width="13.625" style="152" customWidth="1"/>
    <col min="5383" max="5383" width="11.75" style="152" customWidth="1"/>
    <col min="5384" max="5384" width="13.25" style="152" customWidth="1"/>
    <col min="5385" max="5385" width="11.625" style="152" customWidth="1"/>
    <col min="5386" max="5386" width="12.625" style="152" customWidth="1"/>
    <col min="5387" max="5387" width="9.5" style="152" customWidth="1"/>
    <col min="5388" max="5388" width="10.75" style="152" customWidth="1"/>
    <col min="5389" max="5389" width="8" style="152" customWidth="1"/>
    <col min="5390" max="5391" width="9" style="152"/>
    <col min="5392" max="5392" width="9.375" style="152" customWidth="1"/>
    <col min="5393" max="5393" width="9" style="152"/>
    <col min="5394" max="5394" width="7.5" style="152" customWidth="1"/>
    <col min="5395" max="5395" width="9.875" style="152" customWidth="1"/>
    <col min="5396" max="5632" width="9" style="152"/>
    <col min="5633" max="5633" width="14.375" style="152" customWidth="1"/>
    <col min="5634" max="5634" width="11.875" style="152" customWidth="1"/>
    <col min="5635" max="5635" width="13.875" style="152" customWidth="1"/>
    <col min="5636" max="5636" width="12.25" style="152" customWidth="1"/>
    <col min="5637" max="5637" width="12.625" style="152" customWidth="1"/>
    <col min="5638" max="5638" width="13.625" style="152" customWidth="1"/>
    <col min="5639" max="5639" width="11.75" style="152" customWidth="1"/>
    <col min="5640" max="5640" width="13.25" style="152" customWidth="1"/>
    <col min="5641" max="5641" width="11.625" style="152" customWidth="1"/>
    <col min="5642" max="5642" width="12.625" style="152" customWidth="1"/>
    <col min="5643" max="5643" width="9.5" style="152" customWidth="1"/>
    <col min="5644" max="5644" width="10.75" style="152" customWidth="1"/>
    <col min="5645" max="5645" width="8" style="152" customWidth="1"/>
    <col min="5646" max="5647" width="9" style="152"/>
    <col min="5648" max="5648" width="9.375" style="152" customWidth="1"/>
    <col min="5649" max="5649" width="9" style="152"/>
    <col min="5650" max="5650" width="7.5" style="152" customWidth="1"/>
    <col min="5651" max="5651" width="9.875" style="152" customWidth="1"/>
    <col min="5652" max="5888" width="9" style="152"/>
    <col min="5889" max="5889" width="14.375" style="152" customWidth="1"/>
    <col min="5890" max="5890" width="11.875" style="152" customWidth="1"/>
    <col min="5891" max="5891" width="13.875" style="152" customWidth="1"/>
    <col min="5892" max="5892" width="12.25" style="152" customWidth="1"/>
    <col min="5893" max="5893" width="12.625" style="152" customWidth="1"/>
    <col min="5894" max="5894" width="13.625" style="152" customWidth="1"/>
    <col min="5895" max="5895" width="11.75" style="152" customWidth="1"/>
    <col min="5896" max="5896" width="13.25" style="152" customWidth="1"/>
    <col min="5897" max="5897" width="11.625" style="152" customWidth="1"/>
    <col min="5898" max="5898" width="12.625" style="152" customWidth="1"/>
    <col min="5899" max="5899" width="9.5" style="152" customWidth="1"/>
    <col min="5900" max="5900" width="10.75" style="152" customWidth="1"/>
    <col min="5901" max="5901" width="8" style="152" customWidth="1"/>
    <col min="5902" max="5903" width="9" style="152"/>
    <col min="5904" max="5904" width="9.375" style="152" customWidth="1"/>
    <col min="5905" max="5905" width="9" style="152"/>
    <col min="5906" max="5906" width="7.5" style="152" customWidth="1"/>
    <col min="5907" max="5907" width="9.875" style="152" customWidth="1"/>
    <col min="5908" max="6144" width="9" style="152"/>
    <col min="6145" max="6145" width="14.375" style="152" customWidth="1"/>
    <col min="6146" max="6146" width="11.875" style="152" customWidth="1"/>
    <col min="6147" max="6147" width="13.875" style="152" customWidth="1"/>
    <col min="6148" max="6148" width="12.25" style="152" customWidth="1"/>
    <col min="6149" max="6149" width="12.625" style="152" customWidth="1"/>
    <col min="6150" max="6150" width="13.625" style="152" customWidth="1"/>
    <col min="6151" max="6151" width="11.75" style="152" customWidth="1"/>
    <col min="6152" max="6152" width="13.25" style="152" customWidth="1"/>
    <col min="6153" max="6153" width="11.625" style="152" customWidth="1"/>
    <col min="6154" max="6154" width="12.625" style="152" customWidth="1"/>
    <col min="6155" max="6155" width="9.5" style="152" customWidth="1"/>
    <col min="6156" max="6156" width="10.75" style="152" customWidth="1"/>
    <col min="6157" max="6157" width="8" style="152" customWidth="1"/>
    <col min="6158" max="6159" width="9" style="152"/>
    <col min="6160" max="6160" width="9.375" style="152" customWidth="1"/>
    <col min="6161" max="6161" width="9" style="152"/>
    <col min="6162" max="6162" width="7.5" style="152" customWidth="1"/>
    <col min="6163" max="6163" width="9.875" style="152" customWidth="1"/>
    <col min="6164" max="6400" width="9" style="152"/>
    <col min="6401" max="6401" width="14.375" style="152" customWidth="1"/>
    <col min="6402" max="6402" width="11.875" style="152" customWidth="1"/>
    <col min="6403" max="6403" width="13.875" style="152" customWidth="1"/>
    <col min="6404" max="6404" width="12.25" style="152" customWidth="1"/>
    <col min="6405" max="6405" width="12.625" style="152" customWidth="1"/>
    <col min="6406" max="6406" width="13.625" style="152" customWidth="1"/>
    <col min="6407" max="6407" width="11.75" style="152" customWidth="1"/>
    <col min="6408" max="6408" width="13.25" style="152" customWidth="1"/>
    <col min="6409" max="6409" width="11.625" style="152" customWidth="1"/>
    <col min="6410" max="6410" width="12.625" style="152" customWidth="1"/>
    <col min="6411" max="6411" width="9.5" style="152" customWidth="1"/>
    <col min="6412" max="6412" width="10.75" style="152" customWidth="1"/>
    <col min="6413" max="6413" width="8" style="152" customWidth="1"/>
    <col min="6414" max="6415" width="9" style="152"/>
    <col min="6416" max="6416" width="9.375" style="152" customWidth="1"/>
    <col min="6417" max="6417" width="9" style="152"/>
    <col min="6418" max="6418" width="7.5" style="152" customWidth="1"/>
    <col min="6419" max="6419" width="9.875" style="152" customWidth="1"/>
    <col min="6420" max="6656" width="9" style="152"/>
    <col min="6657" max="6657" width="14.375" style="152" customWidth="1"/>
    <col min="6658" max="6658" width="11.875" style="152" customWidth="1"/>
    <col min="6659" max="6659" width="13.875" style="152" customWidth="1"/>
    <col min="6660" max="6660" width="12.25" style="152" customWidth="1"/>
    <col min="6661" max="6661" width="12.625" style="152" customWidth="1"/>
    <col min="6662" max="6662" width="13.625" style="152" customWidth="1"/>
    <col min="6663" max="6663" width="11.75" style="152" customWidth="1"/>
    <col min="6664" max="6664" width="13.25" style="152" customWidth="1"/>
    <col min="6665" max="6665" width="11.625" style="152" customWidth="1"/>
    <col min="6666" max="6666" width="12.625" style="152" customWidth="1"/>
    <col min="6667" max="6667" width="9.5" style="152" customWidth="1"/>
    <col min="6668" max="6668" width="10.75" style="152" customWidth="1"/>
    <col min="6669" max="6669" width="8" style="152" customWidth="1"/>
    <col min="6670" max="6671" width="9" style="152"/>
    <col min="6672" max="6672" width="9.375" style="152" customWidth="1"/>
    <col min="6673" max="6673" width="9" style="152"/>
    <col min="6674" max="6674" width="7.5" style="152" customWidth="1"/>
    <col min="6675" max="6675" width="9.875" style="152" customWidth="1"/>
    <col min="6676" max="6912" width="9" style="152"/>
    <col min="6913" max="6913" width="14.375" style="152" customWidth="1"/>
    <col min="6914" max="6914" width="11.875" style="152" customWidth="1"/>
    <col min="6915" max="6915" width="13.875" style="152" customWidth="1"/>
    <col min="6916" max="6916" width="12.25" style="152" customWidth="1"/>
    <col min="6917" max="6917" width="12.625" style="152" customWidth="1"/>
    <col min="6918" max="6918" width="13.625" style="152" customWidth="1"/>
    <col min="6919" max="6919" width="11.75" style="152" customWidth="1"/>
    <col min="6920" max="6920" width="13.25" style="152" customWidth="1"/>
    <col min="6921" max="6921" width="11.625" style="152" customWidth="1"/>
    <col min="6922" max="6922" width="12.625" style="152" customWidth="1"/>
    <col min="6923" max="6923" width="9.5" style="152" customWidth="1"/>
    <col min="6924" max="6924" width="10.75" style="152" customWidth="1"/>
    <col min="6925" max="6925" width="8" style="152" customWidth="1"/>
    <col min="6926" max="6927" width="9" style="152"/>
    <col min="6928" max="6928" width="9.375" style="152" customWidth="1"/>
    <col min="6929" max="6929" width="9" style="152"/>
    <col min="6930" max="6930" width="7.5" style="152" customWidth="1"/>
    <col min="6931" max="6931" width="9.875" style="152" customWidth="1"/>
    <col min="6932" max="7168" width="9" style="152"/>
    <col min="7169" max="7169" width="14.375" style="152" customWidth="1"/>
    <col min="7170" max="7170" width="11.875" style="152" customWidth="1"/>
    <col min="7171" max="7171" width="13.875" style="152" customWidth="1"/>
    <col min="7172" max="7172" width="12.25" style="152" customWidth="1"/>
    <col min="7173" max="7173" width="12.625" style="152" customWidth="1"/>
    <col min="7174" max="7174" width="13.625" style="152" customWidth="1"/>
    <col min="7175" max="7175" width="11.75" style="152" customWidth="1"/>
    <col min="7176" max="7176" width="13.25" style="152" customWidth="1"/>
    <col min="7177" max="7177" width="11.625" style="152" customWidth="1"/>
    <col min="7178" max="7178" width="12.625" style="152" customWidth="1"/>
    <col min="7179" max="7179" width="9.5" style="152" customWidth="1"/>
    <col min="7180" max="7180" width="10.75" style="152" customWidth="1"/>
    <col min="7181" max="7181" width="8" style="152" customWidth="1"/>
    <col min="7182" max="7183" width="9" style="152"/>
    <col min="7184" max="7184" width="9.375" style="152" customWidth="1"/>
    <col min="7185" max="7185" width="9" style="152"/>
    <col min="7186" max="7186" width="7.5" style="152" customWidth="1"/>
    <col min="7187" max="7187" width="9.875" style="152" customWidth="1"/>
    <col min="7188" max="7424" width="9" style="152"/>
    <col min="7425" max="7425" width="14.375" style="152" customWidth="1"/>
    <col min="7426" max="7426" width="11.875" style="152" customWidth="1"/>
    <col min="7427" max="7427" width="13.875" style="152" customWidth="1"/>
    <col min="7428" max="7428" width="12.25" style="152" customWidth="1"/>
    <col min="7429" max="7429" width="12.625" style="152" customWidth="1"/>
    <col min="7430" max="7430" width="13.625" style="152" customWidth="1"/>
    <col min="7431" max="7431" width="11.75" style="152" customWidth="1"/>
    <col min="7432" max="7432" width="13.25" style="152" customWidth="1"/>
    <col min="7433" max="7433" width="11.625" style="152" customWidth="1"/>
    <col min="7434" max="7434" width="12.625" style="152" customWidth="1"/>
    <col min="7435" max="7435" width="9.5" style="152" customWidth="1"/>
    <col min="7436" max="7436" width="10.75" style="152" customWidth="1"/>
    <col min="7437" max="7437" width="8" style="152" customWidth="1"/>
    <col min="7438" max="7439" width="9" style="152"/>
    <col min="7440" max="7440" width="9.375" style="152" customWidth="1"/>
    <col min="7441" max="7441" width="9" style="152"/>
    <col min="7442" max="7442" width="7.5" style="152" customWidth="1"/>
    <col min="7443" max="7443" width="9.875" style="152" customWidth="1"/>
    <col min="7444" max="7680" width="9" style="152"/>
    <col min="7681" max="7681" width="14.375" style="152" customWidth="1"/>
    <col min="7682" max="7682" width="11.875" style="152" customWidth="1"/>
    <col min="7683" max="7683" width="13.875" style="152" customWidth="1"/>
    <col min="7684" max="7684" width="12.25" style="152" customWidth="1"/>
    <col min="7685" max="7685" width="12.625" style="152" customWidth="1"/>
    <col min="7686" max="7686" width="13.625" style="152" customWidth="1"/>
    <col min="7687" max="7687" width="11.75" style="152" customWidth="1"/>
    <col min="7688" max="7688" width="13.25" style="152" customWidth="1"/>
    <col min="7689" max="7689" width="11.625" style="152" customWidth="1"/>
    <col min="7690" max="7690" width="12.625" style="152" customWidth="1"/>
    <col min="7691" max="7691" width="9.5" style="152" customWidth="1"/>
    <col min="7692" max="7692" width="10.75" style="152" customWidth="1"/>
    <col min="7693" max="7693" width="8" style="152" customWidth="1"/>
    <col min="7694" max="7695" width="9" style="152"/>
    <col min="7696" max="7696" width="9.375" style="152" customWidth="1"/>
    <col min="7697" max="7697" width="9" style="152"/>
    <col min="7698" max="7698" width="7.5" style="152" customWidth="1"/>
    <col min="7699" max="7699" width="9.875" style="152" customWidth="1"/>
    <col min="7700" max="7936" width="9" style="152"/>
    <col min="7937" max="7937" width="14.375" style="152" customWidth="1"/>
    <col min="7938" max="7938" width="11.875" style="152" customWidth="1"/>
    <col min="7939" max="7939" width="13.875" style="152" customWidth="1"/>
    <col min="7940" max="7940" width="12.25" style="152" customWidth="1"/>
    <col min="7941" max="7941" width="12.625" style="152" customWidth="1"/>
    <col min="7942" max="7942" width="13.625" style="152" customWidth="1"/>
    <col min="7943" max="7943" width="11.75" style="152" customWidth="1"/>
    <col min="7944" max="7944" width="13.25" style="152" customWidth="1"/>
    <col min="7945" max="7945" width="11.625" style="152" customWidth="1"/>
    <col min="7946" max="7946" width="12.625" style="152" customWidth="1"/>
    <col min="7947" max="7947" width="9.5" style="152" customWidth="1"/>
    <col min="7948" max="7948" width="10.75" style="152" customWidth="1"/>
    <col min="7949" max="7949" width="8" style="152" customWidth="1"/>
    <col min="7950" max="7951" width="9" style="152"/>
    <col min="7952" max="7952" width="9.375" style="152" customWidth="1"/>
    <col min="7953" max="7953" width="9" style="152"/>
    <col min="7954" max="7954" width="7.5" style="152" customWidth="1"/>
    <col min="7955" max="7955" width="9.875" style="152" customWidth="1"/>
    <col min="7956" max="8192" width="9" style="152"/>
    <col min="8193" max="8193" width="14.375" style="152" customWidth="1"/>
    <col min="8194" max="8194" width="11.875" style="152" customWidth="1"/>
    <col min="8195" max="8195" width="13.875" style="152" customWidth="1"/>
    <col min="8196" max="8196" width="12.25" style="152" customWidth="1"/>
    <col min="8197" max="8197" width="12.625" style="152" customWidth="1"/>
    <col min="8198" max="8198" width="13.625" style="152" customWidth="1"/>
    <col min="8199" max="8199" width="11.75" style="152" customWidth="1"/>
    <col min="8200" max="8200" width="13.25" style="152" customWidth="1"/>
    <col min="8201" max="8201" width="11.625" style="152" customWidth="1"/>
    <col min="8202" max="8202" width="12.625" style="152" customWidth="1"/>
    <col min="8203" max="8203" width="9.5" style="152" customWidth="1"/>
    <col min="8204" max="8204" width="10.75" style="152" customWidth="1"/>
    <col min="8205" max="8205" width="8" style="152" customWidth="1"/>
    <col min="8206" max="8207" width="9" style="152"/>
    <col min="8208" max="8208" width="9.375" style="152" customWidth="1"/>
    <col min="8209" max="8209" width="9" style="152"/>
    <col min="8210" max="8210" width="7.5" style="152" customWidth="1"/>
    <col min="8211" max="8211" width="9.875" style="152" customWidth="1"/>
    <col min="8212" max="8448" width="9" style="152"/>
    <col min="8449" max="8449" width="14.375" style="152" customWidth="1"/>
    <col min="8450" max="8450" width="11.875" style="152" customWidth="1"/>
    <col min="8451" max="8451" width="13.875" style="152" customWidth="1"/>
    <col min="8452" max="8452" width="12.25" style="152" customWidth="1"/>
    <col min="8453" max="8453" width="12.625" style="152" customWidth="1"/>
    <col min="8454" max="8454" width="13.625" style="152" customWidth="1"/>
    <col min="8455" max="8455" width="11.75" style="152" customWidth="1"/>
    <col min="8456" max="8456" width="13.25" style="152" customWidth="1"/>
    <col min="8457" max="8457" width="11.625" style="152" customWidth="1"/>
    <col min="8458" max="8458" width="12.625" style="152" customWidth="1"/>
    <col min="8459" max="8459" width="9.5" style="152" customWidth="1"/>
    <col min="8460" max="8460" width="10.75" style="152" customWidth="1"/>
    <col min="8461" max="8461" width="8" style="152" customWidth="1"/>
    <col min="8462" max="8463" width="9" style="152"/>
    <col min="8464" max="8464" width="9.375" style="152" customWidth="1"/>
    <col min="8465" max="8465" width="9" style="152"/>
    <col min="8466" max="8466" width="7.5" style="152" customWidth="1"/>
    <col min="8467" max="8467" width="9.875" style="152" customWidth="1"/>
    <col min="8468" max="8704" width="9" style="152"/>
    <col min="8705" max="8705" width="14.375" style="152" customWidth="1"/>
    <col min="8706" max="8706" width="11.875" style="152" customWidth="1"/>
    <col min="8707" max="8707" width="13.875" style="152" customWidth="1"/>
    <col min="8708" max="8708" width="12.25" style="152" customWidth="1"/>
    <col min="8709" max="8709" width="12.625" style="152" customWidth="1"/>
    <col min="8710" max="8710" width="13.625" style="152" customWidth="1"/>
    <col min="8711" max="8711" width="11.75" style="152" customWidth="1"/>
    <col min="8712" max="8712" width="13.25" style="152" customWidth="1"/>
    <col min="8713" max="8713" width="11.625" style="152" customWidth="1"/>
    <col min="8714" max="8714" width="12.625" style="152" customWidth="1"/>
    <col min="8715" max="8715" width="9.5" style="152" customWidth="1"/>
    <col min="8716" max="8716" width="10.75" style="152" customWidth="1"/>
    <col min="8717" max="8717" width="8" style="152" customWidth="1"/>
    <col min="8718" max="8719" width="9" style="152"/>
    <col min="8720" max="8720" width="9.375" style="152" customWidth="1"/>
    <col min="8721" max="8721" width="9" style="152"/>
    <col min="8722" max="8722" width="7.5" style="152" customWidth="1"/>
    <col min="8723" max="8723" width="9.875" style="152" customWidth="1"/>
    <col min="8724" max="8960" width="9" style="152"/>
    <col min="8961" max="8961" width="14.375" style="152" customWidth="1"/>
    <col min="8962" max="8962" width="11.875" style="152" customWidth="1"/>
    <col min="8963" max="8963" width="13.875" style="152" customWidth="1"/>
    <col min="8964" max="8964" width="12.25" style="152" customWidth="1"/>
    <col min="8965" max="8965" width="12.625" style="152" customWidth="1"/>
    <col min="8966" max="8966" width="13.625" style="152" customWidth="1"/>
    <col min="8967" max="8967" width="11.75" style="152" customWidth="1"/>
    <col min="8968" max="8968" width="13.25" style="152" customWidth="1"/>
    <col min="8969" max="8969" width="11.625" style="152" customWidth="1"/>
    <col min="8970" max="8970" width="12.625" style="152" customWidth="1"/>
    <col min="8971" max="8971" width="9.5" style="152" customWidth="1"/>
    <col min="8972" max="8972" width="10.75" style="152" customWidth="1"/>
    <col min="8973" max="8973" width="8" style="152" customWidth="1"/>
    <col min="8974" max="8975" width="9" style="152"/>
    <col min="8976" max="8976" width="9.375" style="152" customWidth="1"/>
    <col min="8977" max="8977" width="9" style="152"/>
    <col min="8978" max="8978" width="7.5" style="152" customWidth="1"/>
    <col min="8979" max="8979" width="9.875" style="152" customWidth="1"/>
    <col min="8980" max="9216" width="9" style="152"/>
    <col min="9217" max="9217" width="14.375" style="152" customWidth="1"/>
    <col min="9218" max="9218" width="11.875" style="152" customWidth="1"/>
    <col min="9219" max="9219" width="13.875" style="152" customWidth="1"/>
    <col min="9220" max="9220" width="12.25" style="152" customWidth="1"/>
    <col min="9221" max="9221" width="12.625" style="152" customWidth="1"/>
    <col min="9222" max="9222" width="13.625" style="152" customWidth="1"/>
    <col min="9223" max="9223" width="11.75" style="152" customWidth="1"/>
    <col min="9224" max="9224" width="13.25" style="152" customWidth="1"/>
    <col min="9225" max="9225" width="11.625" style="152" customWidth="1"/>
    <col min="9226" max="9226" width="12.625" style="152" customWidth="1"/>
    <col min="9227" max="9227" width="9.5" style="152" customWidth="1"/>
    <col min="9228" max="9228" width="10.75" style="152" customWidth="1"/>
    <col min="9229" max="9229" width="8" style="152" customWidth="1"/>
    <col min="9230" max="9231" width="9" style="152"/>
    <col min="9232" max="9232" width="9.375" style="152" customWidth="1"/>
    <col min="9233" max="9233" width="9" style="152"/>
    <col min="9234" max="9234" width="7.5" style="152" customWidth="1"/>
    <col min="9235" max="9235" width="9.875" style="152" customWidth="1"/>
    <col min="9236" max="9472" width="9" style="152"/>
    <col min="9473" max="9473" width="14.375" style="152" customWidth="1"/>
    <col min="9474" max="9474" width="11.875" style="152" customWidth="1"/>
    <col min="9475" max="9475" width="13.875" style="152" customWidth="1"/>
    <col min="9476" max="9476" width="12.25" style="152" customWidth="1"/>
    <col min="9477" max="9477" width="12.625" style="152" customWidth="1"/>
    <col min="9478" max="9478" width="13.625" style="152" customWidth="1"/>
    <col min="9479" max="9479" width="11.75" style="152" customWidth="1"/>
    <col min="9480" max="9480" width="13.25" style="152" customWidth="1"/>
    <col min="9481" max="9481" width="11.625" style="152" customWidth="1"/>
    <col min="9482" max="9482" width="12.625" style="152" customWidth="1"/>
    <col min="9483" max="9483" width="9.5" style="152" customWidth="1"/>
    <col min="9484" max="9484" width="10.75" style="152" customWidth="1"/>
    <col min="9485" max="9485" width="8" style="152" customWidth="1"/>
    <col min="9486" max="9487" width="9" style="152"/>
    <col min="9488" max="9488" width="9.375" style="152" customWidth="1"/>
    <col min="9489" max="9489" width="9" style="152"/>
    <col min="9490" max="9490" width="7.5" style="152" customWidth="1"/>
    <col min="9491" max="9491" width="9.875" style="152" customWidth="1"/>
    <col min="9492" max="9728" width="9" style="152"/>
    <col min="9729" max="9729" width="14.375" style="152" customWidth="1"/>
    <col min="9730" max="9730" width="11.875" style="152" customWidth="1"/>
    <col min="9731" max="9731" width="13.875" style="152" customWidth="1"/>
    <col min="9732" max="9732" width="12.25" style="152" customWidth="1"/>
    <col min="9733" max="9733" width="12.625" style="152" customWidth="1"/>
    <col min="9734" max="9734" width="13.625" style="152" customWidth="1"/>
    <col min="9735" max="9735" width="11.75" style="152" customWidth="1"/>
    <col min="9736" max="9736" width="13.25" style="152" customWidth="1"/>
    <col min="9737" max="9737" width="11.625" style="152" customWidth="1"/>
    <col min="9738" max="9738" width="12.625" style="152" customWidth="1"/>
    <col min="9739" max="9739" width="9.5" style="152" customWidth="1"/>
    <col min="9740" max="9740" width="10.75" style="152" customWidth="1"/>
    <col min="9741" max="9741" width="8" style="152" customWidth="1"/>
    <col min="9742" max="9743" width="9" style="152"/>
    <col min="9744" max="9744" width="9.375" style="152" customWidth="1"/>
    <col min="9745" max="9745" width="9" style="152"/>
    <col min="9746" max="9746" width="7.5" style="152" customWidth="1"/>
    <col min="9747" max="9747" width="9.875" style="152" customWidth="1"/>
    <col min="9748" max="9984" width="9" style="152"/>
    <col min="9985" max="9985" width="14.375" style="152" customWidth="1"/>
    <col min="9986" max="9986" width="11.875" style="152" customWidth="1"/>
    <col min="9987" max="9987" width="13.875" style="152" customWidth="1"/>
    <col min="9988" max="9988" width="12.25" style="152" customWidth="1"/>
    <col min="9989" max="9989" width="12.625" style="152" customWidth="1"/>
    <col min="9990" max="9990" width="13.625" style="152" customWidth="1"/>
    <col min="9991" max="9991" width="11.75" style="152" customWidth="1"/>
    <col min="9992" max="9992" width="13.25" style="152" customWidth="1"/>
    <col min="9993" max="9993" width="11.625" style="152" customWidth="1"/>
    <col min="9994" max="9994" width="12.625" style="152" customWidth="1"/>
    <col min="9995" max="9995" width="9.5" style="152" customWidth="1"/>
    <col min="9996" max="9996" width="10.75" style="152" customWidth="1"/>
    <col min="9997" max="9997" width="8" style="152" customWidth="1"/>
    <col min="9998" max="9999" width="9" style="152"/>
    <col min="10000" max="10000" width="9.375" style="152" customWidth="1"/>
    <col min="10001" max="10001" width="9" style="152"/>
    <col min="10002" max="10002" width="7.5" style="152" customWidth="1"/>
    <col min="10003" max="10003" width="9.875" style="152" customWidth="1"/>
    <col min="10004" max="10240" width="9" style="152"/>
    <col min="10241" max="10241" width="14.375" style="152" customWidth="1"/>
    <col min="10242" max="10242" width="11.875" style="152" customWidth="1"/>
    <col min="10243" max="10243" width="13.875" style="152" customWidth="1"/>
    <col min="10244" max="10244" width="12.25" style="152" customWidth="1"/>
    <col min="10245" max="10245" width="12.625" style="152" customWidth="1"/>
    <col min="10246" max="10246" width="13.625" style="152" customWidth="1"/>
    <col min="10247" max="10247" width="11.75" style="152" customWidth="1"/>
    <col min="10248" max="10248" width="13.25" style="152" customWidth="1"/>
    <col min="10249" max="10249" width="11.625" style="152" customWidth="1"/>
    <col min="10250" max="10250" width="12.625" style="152" customWidth="1"/>
    <col min="10251" max="10251" width="9.5" style="152" customWidth="1"/>
    <col min="10252" max="10252" width="10.75" style="152" customWidth="1"/>
    <col min="10253" max="10253" width="8" style="152" customWidth="1"/>
    <col min="10254" max="10255" width="9" style="152"/>
    <col min="10256" max="10256" width="9.375" style="152" customWidth="1"/>
    <col min="10257" max="10257" width="9" style="152"/>
    <col min="10258" max="10258" width="7.5" style="152" customWidth="1"/>
    <col min="10259" max="10259" width="9.875" style="152" customWidth="1"/>
    <col min="10260" max="10496" width="9" style="152"/>
    <col min="10497" max="10497" width="14.375" style="152" customWidth="1"/>
    <col min="10498" max="10498" width="11.875" style="152" customWidth="1"/>
    <col min="10499" max="10499" width="13.875" style="152" customWidth="1"/>
    <col min="10500" max="10500" width="12.25" style="152" customWidth="1"/>
    <col min="10501" max="10501" width="12.625" style="152" customWidth="1"/>
    <col min="10502" max="10502" width="13.625" style="152" customWidth="1"/>
    <col min="10503" max="10503" width="11.75" style="152" customWidth="1"/>
    <col min="10504" max="10504" width="13.25" style="152" customWidth="1"/>
    <col min="10505" max="10505" width="11.625" style="152" customWidth="1"/>
    <col min="10506" max="10506" width="12.625" style="152" customWidth="1"/>
    <col min="10507" max="10507" width="9.5" style="152" customWidth="1"/>
    <col min="10508" max="10508" width="10.75" style="152" customWidth="1"/>
    <col min="10509" max="10509" width="8" style="152" customWidth="1"/>
    <col min="10510" max="10511" width="9" style="152"/>
    <col min="10512" max="10512" width="9.375" style="152" customWidth="1"/>
    <col min="10513" max="10513" width="9" style="152"/>
    <col min="10514" max="10514" width="7.5" style="152" customWidth="1"/>
    <col min="10515" max="10515" width="9.875" style="152" customWidth="1"/>
    <col min="10516" max="10752" width="9" style="152"/>
    <col min="10753" max="10753" width="14.375" style="152" customWidth="1"/>
    <col min="10754" max="10754" width="11.875" style="152" customWidth="1"/>
    <col min="10755" max="10755" width="13.875" style="152" customWidth="1"/>
    <col min="10756" max="10756" width="12.25" style="152" customWidth="1"/>
    <col min="10757" max="10757" width="12.625" style="152" customWidth="1"/>
    <col min="10758" max="10758" width="13.625" style="152" customWidth="1"/>
    <col min="10759" max="10759" width="11.75" style="152" customWidth="1"/>
    <col min="10760" max="10760" width="13.25" style="152" customWidth="1"/>
    <col min="10761" max="10761" width="11.625" style="152" customWidth="1"/>
    <col min="10762" max="10762" width="12.625" style="152" customWidth="1"/>
    <col min="10763" max="10763" width="9.5" style="152" customWidth="1"/>
    <col min="10764" max="10764" width="10.75" style="152" customWidth="1"/>
    <col min="10765" max="10765" width="8" style="152" customWidth="1"/>
    <col min="10766" max="10767" width="9" style="152"/>
    <col min="10768" max="10768" width="9.375" style="152" customWidth="1"/>
    <col min="10769" max="10769" width="9" style="152"/>
    <col min="10770" max="10770" width="7.5" style="152" customWidth="1"/>
    <col min="10771" max="10771" width="9.875" style="152" customWidth="1"/>
    <col min="10772" max="11008" width="9" style="152"/>
    <col min="11009" max="11009" width="14.375" style="152" customWidth="1"/>
    <col min="11010" max="11010" width="11.875" style="152" customWidth="1"/>
    <col min="11011" max="11011" width="13.875" style="152" customWidth="1"/>
    <col min="11012" max="11012" width="12.25" style="152" customWidth="1"/>
    <col min="11013" max="11013" width="12.625" style="152" customWidth="1"/>
    <col min="11014" max="11014" width="13.625" style="152" customWidth="1"/>
    <col min="11015" max="11015" width="11.75" style="152" customWidth="1"/>
    <col min="11016" max="11016" width="13.25" style="152" customWidth="1"/>
    <col min="11017" max="11017" width="11.625" style="152" customWidth="1"/>
    <col min="11018" max="11018" width="12.625" style="152" customWidth="1"/>
    <col min="11019" max="11019" width="9.5" style="152" customWidth="1"/>
    <col min="11020" max="11020" width="10.75" style="152" customWidth="1"/>
    <col min="11021" max="11021" width="8" style="152" customWidth="1"/>
    <col min="11022" max="11023" width="9" style="152"/>
    <col min="11024" max="11024" width="9.375" style="152" customWidth="1"/>
    <col min="11025" max="11025" width="9" style="152"/>
    <col min="11026" max="11026" width="7.5" style="152" customWidth="1"/>
    <col min="11027" max="11027" width="9.875" style="152" customWidth="1"/>
    <col min="11028" max="11264" width="9" style="152"/>
    <col min="11265" max="11265" width="14.375" style="152" customWidth="1"/>
    <col min="11266" max="11266" width="11.875" style="152" customWidth="1"/>
    <col min="11267" max="11267" width="13.875" style="152" customWidth="1"/>
    <col min="11268" max="11268" width="12.25" style="152" customWidth="1"/>
    <col min="11269" max="11269" width="12.625" style="152" customWidth="1"/>
    <col min="11270" max="11270" width="13.625" style="152" customWidth="1"/>
    <col min="11271" max="11271" width="11.75" style="152" customWidth="1"/>
    <col min="11272" max="11272" width="13.25" style="152" customWidth="1"/>
    <col min="11273" max="11273" width="11.625" style="152" customWidth="1"/>
    <col min="11274" max="11274" width="12.625" style="152" customWidth="1"/>
    <col min="11275" max="11275" width="9.5" style="152" customWidth="1"/>
    <col min="11276" max="11276" width="10.75" style="152" customWidth="1"/>
    <col min="11277" max="11277" width="8" style="152" customWidth="1"/>
    <col min="11278" max="11279" width="9" style="152"/>
    <col min="11280" max="11280" width="9.375" style="152" customWidth="1"/>
    <col min="11281" max="11281" width="9" style="152"/>
    <col min="11282" max="11282" width="7.5" style="152" customWidth="1"/>
    <col min="11283" max="11283" width="9.875" style="152" customWidth="1"/>
    <col min="11284" max="11520" width="9" style="152"/>
    <col min="11521" max="11521" width="14.375" style="152" customWidth="1"/>
    <col min="11522" max="11522" width="11.875" style="152" customWidth="1"/>
    <col min="11523" max="11523" width="13.875" style="152" customWidth="1"/>
    <col min="11524" max="11524" width="12.25" style="152" customWidth="1"/>
    <col min="11525" max="11525" width="12.625" style="152" customWidth="1"/>
    <col min="11526" max="11526" width="13.625" style="152" customWidth="1"/>
    <col min="11527" max="11527" width="11.75" style="152" customWidth="1"/>
    <col min="11528" max="11528" width="13.25" style="152" customWidth="1"/>
    <col min="11529" max="11529" width="11.625" style="152" customWidth="1"/>
    <col min="11530" max="11530" width="12.625" style="152" customWidth="1"/>
    <col min="11531" max="11531" width="9.5" style="152" customWidth="1"/>
    <col min="11532" max="11532" width="10.75" style="152" customWidth="1"/>
    <col min="11533" max="11533" width="8" style="152" customWidth="1"/>
    <col min="11534" max="11535" width="9" style="152"/>
    <col min="11536" max="11536" width="9.375" style="152" customWidth="1"/>
    <col min="11537" max="11537" width="9" style="152"/>
    <col min="11538" max="11538" width="7.5" style="152" customWidth="1"/>
    <col min="11539" max="11539" width="9.875" style="152" customWidth="1"/>
    <col min="11540" max="11776" width="9" style="152"/>
    <col min="11777" max="11777" width="14.375" style="152" customWidth="1"/>
    <col min="11778" max="11778" width="11.875" style="152" customWidth="1"/>
    <col min="11779" max="11779" width="13.875" style="152" customWidth="1"/>
    <col min="11780" max="11780" width="12.25" style="152" customWidth="1"/>
    <col min="11781" max="11781" width="12.625" style="152" customWidth="1"/>
    <col min="11782" max="11782" width="13.625" style="152" customWidth="1"/>
    <col min="11783" max="11783" width="11.75" style="152" customWidth="1"/>
    <col min="11784" max="11784" width="13.25" style="152" customWidth="1"/>
    <col min="11785" max="11785" width="11.625" style="152" customWidth="1"/>
    <col min="11786" max="11786" width="12.625" style="152" customWidth="1"/>
    <col min="11787" max="11787" width="9.5" style="152" customWidth="1"/>
    <col min="11788" max="11788" width="10.75" style="152" customWidth="1"/>
    <col min="11789" max="11789" width="8" style="152" customWidth="1"/>
    <col min="11790" max="11791" width="9" style="152"/>
    <col min="11792" max="11792" width="9.375" style="152" customWidth="1"/>
    <col min="11793" max="11793" width="9" style="152"/>
    <col min="11794" max="11794" width="7.5" style="152" customWidth="1"/>
    <col min="11795" max="11795" width="9.875" style="152" customWidth="1"/>
    <col min="11796" max="12032" width="9" style="152"/>
    <col min="12033" max="12033" width="14.375" style="152" customWidth="1"/>
    <col min="12034" max="12034" width="11.875" style="152" customWidth="1"/>
    <col min="12035" max="12035" width="13.875" style="152" customWidth="1"/>
    <col min="12036" max="12036" width="12.25" style="152" customWidth="1"/>
    <col min="12037" max="12037" width="12.625" style="152" customWidth="1"/>
    <col min="12038" max="12038" width="13.625" style="152" customWidth="1"/>
    <col min="12039" max="12039" width="11.75" style="152" customWidth="1"/>
    <col min="12040" max="12040" width="13.25" style="152" customWidth="1"/>
    <col min="12041" max="12041" width="11.625" style="152" customWidth="1"/>
    <col min="12042" max="12042" width="12.625" style="152" customWidth="1"/>
    <col min="12043" max="12043" width="9.5" style="152" customWidth="1"/>
    <col min="12044" max="12044" width="10.75" style="152" customWidth="1"/>
    <col min="12045" max="12045" width="8" style="152" customWidth="1"/>
    <col min="12046" max="12047" width="9" style="152"/>
    <col min="12048" max="12048" width="9.375" style="152" customWidth="1"/>
    <col min="12049" max="12049" width="9" style="152"/>
    <col min="12050" max="12050" width="7.5" style="152" customWidth="1"/>
    <col min="12051" max="12051" width="9.875" style="152" customWidth="1"/>
    <col min="12052" max="12288" width="9" style="152"/>
    <col min="12289" max="12289" width="14.375" style="152" customWidth="1"/>
    <col min="12290" max="12290" width="11.875" style="152" customWidth="1"/>
    <col min="12291" max="12291" width="13.875" style="152" customWidth="1"/>
    <col min="12292" max="12292" width="12.25" style="152" customWidth="1"/>
    <col min="12293" max="12293" width="12.625" style="152" customWidth="1"/>
    <col min="12294" max="12294" width="13.625" style="152" customWidth="1"/>
    <col min="12295" max="12295" width="11.75" style="152" customWidth="1"/>
    <col min="12296" max="12296" width="13.25" style="152" customWidth="1"/>
    <col min="12297" max="12297" width="11.625" style="152" customWidth="1"/>
    <col min="12298" max="12298" width="12.625" style="152" customWidth="1"/>
    <col min="12299" max="12299" width="9.5" style="152" customWidth="1"/>
    <col min="12300" max="12300" width="10.75" style="152" customWidth="1"/>
    <col min="12301" max="12301" width="8" style="152" customWidth="1"/>
    <col min="12302" max="12303" width="9" style="152"/>
    <col min="12304" max="12304" width="9.375" style="152" customWidth="1"/>
    <col min="12305" max="12305" width="9" style="152"/>
    <col min="12306" max="12306" width="7.5" style="152" customWidth="1"/>
    <col min="12307" max="12307" width="9.875" style="152" customWidth="1"/>
    <col min="12308" max="12544" width="9" style="152"/>
    <col min="12545" max="12545" width="14.375" style="152" customWidth="1"/>
    <col min="12546" max="12546" width="11.875" style="152" customWidth="1"/>
    <col min="12547" max="12547" width="13.875" style="152" customWidth="1"/>
    <col min="12548" max="12548" width="12.25" style="152" customWidth="1"/>
    <col min="12549" max="12549" width="12.625" style="152" customWidth="1"/>
    <col min="12550" max="12550" width="13.625" style="152" customWidth="1"/>
    <col min="12551" max="12551" width="11.75" style="152" customWidth="1"/>
    <col min="12552" max="12552" width="13.25" style="152" customWidth="1"/>
    <col min="12553" max="12553" width="11.625" style="152" customWidth="1"/>
    <col min="12554" max="12554" width="12.625" style="152" customWidth="1"/>
    <col min="12555" max="12555" width="9.5" style="152" customWidth="1"/>
    <col min="12556" max="12556" width="10.75" style="152" customWidth="1"/>
    <col min="12557" max="12557" width="8" style="152" customWidth="1"/>
    <col min="12558" max="12559" width="9" style="152"/>
    <col min="12560" max="12560" width="9.375" style="152" customWidth="1"/>
    <col min="12561" max="12561" width="9" style="152"/>
    <col min="12562" max="12562" width="7.5" style="152" customWidth="1"/>
    <col min="12563" max="12563" width="9.875" style="152" customWidth="1"/>
    <col min="12564" max="12800" width="9" style="152"/>
    <col min="12801" max="12801" width="14.375" style="152" customWidth="1"/>
    <col min="12802" max="12802" width="11.875" style="152" customWidth="1"/>
    <col min="12803" max="12803" width="13.875" style="152" customWidth="1"/>
    <col min="12804" max="12804" width="12.25" style="152" customWidth="1"/>
    <col min="12805" max="12805" width="12.625" style="152" customWidth="1"/>
    <col min="12806" max="12806" width="13.625" style="152" customWidth="1"/>
    <col min="12807" max="12807" width="11.75" style="152" customWidth="1"/>
    <col min="12808" max="12808" width="13.25" style="152" customWidth="1"/>
    <col min="12809" max="12809" width="11.625" style="152" customWidth="1"/>
    <col min="12810" max="12810" width="12.625" style="152" customWidth="1"/>
    <col min="12811" max="12811" width="9.5" style="152" customWidth="1"/>
    <col min="12812" max="12812" width="10.75" style="152" customWidth="1"/>
    <col min="12813" max="12813" width="8" style="152" customWidth="1"/>
    <col min="12814" max="12815" width="9" style="152"/>
    <col min="12816" max="12816" width="9.375" style="152" customWidth="1"/>
    <col min="12817" max="12817" width="9" style="152"/>
    <col min="12818" max="12818" width="7.5" style="152" customWidth="1"/>
    <col min="12819" max="12819" width="9.875" style="152" customWidth="1"/>
    <col min="12820" max="13056" width="9" style="152"/>
    <col min="13057" max="13057" width="14.375" style="152" customWidth="1"/>
    <col min="13058" max="13058" width="11.875" style="152" customWidth="1"/>
    <col min="13059" max="13059" width="13.875" style="152" customWidth="1"/>
    <col min="13060" max="13060" width="12.25" style="152" customWidth="1"/>
    <col min="13061" max="13061" width="12.625" style="152" customWidth="1"/>
    <col min="13062" max="13062" width="13.625" style="152" customWidth="1"/>
    <col min="13063" max="13063" width="11.75" style="152" customWidth="1"/>
    <col min="13064" max="13064" width="13.25" style="152" customWidth="1"/>
    <col min="13065" max="13065" width="11.625" style="152" customWidth="1"/>
    <col min="13066" max="13066" width="12.625" style="152" customWidth="1"/>
    <col min="13067" max="13067" width="9.5" style="152" customWidth="1"/>
    <col min="13068" max="13068" width="10.75" style="152" customWidth="1"/>
    <col min="13069" max="13069" width="8" style="152" customWidth="1"/>
    <col min="13070" max="13071" width="9" style="152"/>
    <col min="13072" max="13072" width="9.375" style="152" customWidth="1"/>
    <col min="13073" max="13073" width="9" style="152"/>
    <col min="13074" max="13074" width="7.5" style="152" customWidth="1"/>
    <col min="13075" max="13075" width="9.875" style="152" customWidth="1"/>
    <col min="13076" max="13312" width="9" style="152"/>
    <col min="13313" max="13313" width="14.375" style="152" customWidth="1"/>
    <col min="13314" max="13314" width="11.875" style="152" customWidth="1"/>
    <col min="13315" max="13315" width="13.875" style="152" customWidth="1"/>
    <col min="13316" max="13316" width="12.25" style="152" customWidth="1"/>
    <col min="13317" max="13317" width="12.625" style="152" customWidth="1"/>
    <col min="13318" max="13318" width="13.625" style="152" customWidth="1"/>
    <col min="13319" max="13319" width="11.75" style="152" customWidth="1"/>
    <col min="13320" max="13320" width="13.25" style="152" customWidth="1"/>
    <col min="13321" max="13321" width="11.625" style="152" customWidth="1"/>
    <col min="13322" max="13322" width="12.625" style="152" customWidth="1"/>
    <col min="13323" max="13323" width="9.5" style="152" customWidth="1"/>
    <col min="13324" max="13324" width="10.75" style="152" customWidth="1"/>
    <col min="13325" max="13325" width="8" style="152" customWidth="1"/>
    <col min="13326" max="13327" width="9" style="152"/>
    <col min="13328" max="13328" width="9.375" style="152" customWidth="1"/>
    <col min="13329" max="13329" width="9" style="152"/>
    <col min="13330" max="13330" width="7.5" style="152" customWidth="1"/>
    <col min="13331" max="13331" width="9.875" style="152" customWidth="1"/>
    <col min="13332" max="13568" width="9" style="152"/>
    <col min="13569" max="13569" width="14.375" style="152" customWidth="1"/>
    <col min="13570" max="13570" width="11.875" style="152" customWidth="1"/>
    <col min="13571" max="13571" width="13.875" style="152" customWidth="1"/>
    <col min="13572" max="13572" width="12.25" style="152" customWidth="1"/>
    <col min="13573" max="13573" width="12.625" style="152" customWidth="1"/>
    <col min="13574" max="13574" width="13.625" style="152" customWidth="1"/>
    <col min="13575" max="13575" width="11.75" style="152" customWidth="1"/>
    <col min="13576" max="13576" width="13.25" style="152" customWidth="1"/>
    <col min="13577" max="13577" width="11.625" style="152" customWidth="1"/>
    <col min="13578" max="13578" width="12.625" style="152" customWidth="1"/>
    <col min="13579" max="13579" width="9.5" style="152" customWidth="1"/>
    <col min="13580" max="13580" width="10.75" style="152" customWidth="1"/>
    <col min="13581" max="13581" width="8" style="152" customWidth="1"/>
    <col min="13582" max="13583" width="9" style="152"/>
    <col min="13584" max="13584" width="9.375" style="152" customWidth="1"/>
    <col min="13585" max="13585" width="9" style="152"/>
    <col min="13586" max="13586" width="7.5" style="152" customWidth="1"/>
    <col min="13587" max="13587" width="9.875" style="152" customWidth="1"/>
    <col min="13588" max="13824" width="9" style="152"/>
    <col min="13825" max="13825" width="14.375" style="152" customWidth="1"/>
    <col min="13826" max="13826" width="11.875" style="152" customWidth="1"/>
    <col min="13827" max="13827" width="13.875" style="152" customWidth="1"/>
    <col min="13828" max="13828" width="12.25" style="152" customWidth="1"/>
    <col min="13829" max="13829" width="12.625" style="152" customWidth="1"/>
    <col min="13830" max="13830" width="13.625" style="152" customWidth="1"/>
    <col min="13831" max="13831" width="11.75" style="152" customWidth="1"/>
    <col min="13832" max="13832" width="13.25" style="152" customWidth="1"/>
    <col min="13833" max="13833" width="11.625" style="152" customWidth="1"/>
    <col min="13834" max="13834" width="12.625" style="152" customWidth="1"/>
    <col min="13835" max="13835" width="9.5" style="152" customWidth="1"/>
    <col min="13836" max="13836" width="10.75" style="152" customWidth="1"/>
    <col min="13837" max="13837" width="8" style="152" customWidth="1"/>
    <col min="13838" max="13839" width="9" style="152"/>
    <col min="13840" max="13840" width="9.375" style="152" customWidth="1"/>
    <col min="13841" max="13841" width="9" style="152"/>
    <col min="13842" max="13842" width="7.5" style="152" customWidth="1"/>
    <col min="13843" max="13843" width="9.875" style="152" customWidth="1"/>
    <col min="13844" max="14080" width="9" style="152"/>
    <col min="14081" max="14081" width="14.375" style="152" customWidth="1"/>
    <col min="14082" max="14082" width="11.875" style="152" customWidth="1"/>
    <col min="14083" max="14083" width="13.875" style="152" customWidth="1"/>
    <col min="14084" max="14084" width="12.25" style="152" customWidth="1"/>
    <col min="14085" max="14085" width="12.625" style="152" customWidth="1"/>
    <col min="14086" max="14086" width="13.625" style="152" customWidth="1"/>
    <col min="14087" max="14087" width="11.75" style="152" customWidth="1"/>
    <col min="14088" max="14088" width="13.25" style="152" customWidth="1"/>
    <col min="14089" max="14089" width="11.625" style="152" customWidth="1"/>
    <col min="14090" max="14090" width="12.625" style="152" customWidth="1"/>
    <col min="14091" max="14091" width="9.5" style="152" customWidth="1"/>
    <col min="14092" max="14092" width="10.75" style="152" customWidth="1"/>
    <col min="14093" max="14093" width="8" style="152" customWidth="1"/>
    <col min="14094" max="14095" width="9" style="152"/>
    <col min="14096" max="14096" width="9.375" style="152" customWidth="1"/>
    <col min="14097" max="14097" width="9" style="152"/>
    <col min="14098" max="14098" width="7.5" style="152" customWidth="1"/>
    <col min="14099" max="14099" width="9.875" style="152" customWidth="1"/>
    <col min="14100" max="14336" width="9" style="152"/>
    <col min="14337" max="14337" width="14.375" style="152" customWidth="1"/>
    <col min="14338" max="14338" width="11.875" style="152" customWidth="1"/>
    <col min="14339" max="14339" width="13.875" style="152" customWidth="1"/>
    <col min="14340" max="14340" width="12.25" style="152" customWidth="1"/>
    <col min="14341" max="14341" width="12.625" style="152" customWidth="1"/>
    <col min="14342" max="14342" width="13.625" style="152" customWidth="1"/>
    <col min="14343" max="14343" width="11.75" style="152" customWidth="1"/>
    <col min="14344" max="14344" width="13.25" style="152" customWidth="1"/>
    <col min="14345" max="14345" width="11.625" style="152" customWidth="1"/>
    <col min="14346" max="14346" width="12.625" style="152" customWidth="1"/>
    <col min="14347" max="14347" width="9.5" style="152" customWidth="1"/>
    <col min="14348" max="14348" width="10.75" style="152" customWidth="1"/>
    <col min="14349" max="14349" width="8" style="152" customWidth="1"/>
    <col min="14350" max="14351" width="9" style="152"/>
    <col min="14352" max="14352" width="9.375" style="152" customWidth="1"/>
    <col min="14353" max="14353" width="9" style="152"/>
    <col min="14354" max="14354" width="7.5" style="152" customWidth="1"/>
    <col min="14355" max="14355" width="9.875" style="152" customWidth="1"/>
    <col min="14356" max="14592" width="9" style="152"/>
    <col min="14593" max="14593" width="14.375" style="152" customWidth="1"/>
    <col min="14594" max="14594" width="11.875" style="152" customWidth="1"/>
    <col min="14595" max="14595" width="13.875" style="152" customWidth="1"/>
    <col min="14596" max="14596" width="12.25" style="152" customWidth="1"/>
    <col min="14597" max="14597" width="12.625" style="152" customWidth="1"/>
    <col min="14598" max="14598" width="13.625" style="152" customWidth="1"/>
    <col min="14599" max="14599" width="11.75" style="152" customWidth="1"/>
    <col min="14600" max="14600" width="13.25" style="152" customWidth="1"/>
    <col min="14601" max="14601" width="11.625" style="152" customWidth="1"/>
    <col min="14602" max="14602" width="12.625" style="152" customWidth="1"/>
    <col min="14603" max="14603" width="9.5" style="152" customWidth="1"/>
    <col min="14604" max="14604" width="10.75" style="152" customWidth="1"/>
    <col min="14605" max="14605" width="8" style="152" customWidth="1"/>
    <col min="14606" max="14607" width="9" style="152"/>
    <col min="14608" max="14608" width="9.375" style="152" customWidth="1"/>
    <col min="14609" max="14609" width="9" style="152"/>
    <col min="14610" max="14610" width="7.5" style="152" customWidth="1"/>
    <col min="14611" max="14611" width="9.875" style="152" customWidth="1"/>
    <col min="14612" max="14848" width="9" style="152"/>
    <col min="14849" max="14849" width="14.375" style="152" customWidth="1"/>
    <col min="14850" max="14850" width="11.875" style="152" customWidth="1"/>
    <col min="14851" max="14851" width="13.875" style="152" customWidth="1"/>
    <col min="14852" max="14852" width="12.25" style="152" customWidth="1"/>
    <col min="14853" max="14853" width="12.625" style="152" customWidth="1"/>
    <col min="14854" max="14854" width="13.625" style="152" customWidth="1"/>
    <col min="14855" max="14855" width="11.75" style="152" customWidth="1"/>
    <col min="14856" max="14856" width="13.25" style="152" customWidth="1"/>
    <col min="14857" max="14857" width="11.625" style="152" customWidth="1"/>
    <col min="14858" max="14858" width="12.625" style="152" customWidth="1"/>
    <col min="14859" max="14859" width="9.5" style="152" customWidth="1"/>
    <col min="14860" max="14860" width="10.75" style="152" customWidth="1"/>
    <col min="14861" max="14861" width="8" style="152" customWidth="1"/>
    <col min="14862" max="14863" width="9" style="152"/>
    <col min="14864" max="14864" width="9.375" style="152" customWidth="1"/>
    <col min="14865" max="14865" width="9" style="152"/>
    <col min="14866" max="14866" width="7.5" style="152" customWidth="1"/>
    <col min="14867" max="14867" width="9.875" style="152" customWidth="1"/>
    <col min="14868" max="15104" width="9" style="152"/>
    <col min="15105" max="15105" width="14.375" style="152" customWidth="1"/>
    <col min="15106" max="15106" width="11.875" style="152" customWidth="1"/>
    <col min="15107" max="15107" width="13.875" style="152" customWidth="1"/>
    <col min="15108" max="15108" width="12.25" style="152" customWidth="1"/>
    <col min="15109" max="15109" width="12.625" style="152" customWidth="1"/>
    <col min="15110" max="15110" width="13.625" style="152" customWidth="1"/>
    <col min="15111" max="15111" width="11.75" style="152" customWidth="1"/>
    <col min="15112" max="15112" width="13.25" style="152" customWidth="1"/>
    <col min="15113" max="15113" width="11.625" style="152" customWidth="1"/>
    <col min="15114" max="15114" width="12.625" style="152" customWidth="1"/>
    <col min="15115" max="15115" width="9.5" style="152" customWidth="1"/>
    <col min="15116" max="15116" width="10.75" style="152" customWidth="1"/>
    <col min="15117" max="15117" width="8" style="152" customWidth="1"/>
    <col min="15118" max="15119" width="9" style="152"/>
    <col min="15120" max="15120" width="9.375" style="152" customWidth="1"/>
    <col min="15121" max="15121" width="9" style="152"/>
    <col min="15122" max="15122" width="7.5" style="152" customWidth="1"/>
    <col min="15123" max="15123" width="9.875" style="152" customWidth="1"/>
    <col min="15124" max="15360" width="9" style="152"/>
    <col min="15361" max="15361" width="14.375" style="152" customWidth="1"/>
    <col min="15362" max="15362" width="11.875" style="152" customWidth="1"/>
    <col min="15363" max="15363" width="13.875" style="152" customWidth="1"/>
    <col min="15364" max="15364" width="12.25" style="152" customWidth="1"/>
    <col min="15365" max="15365" width="12.625" style="152" customWidth="1"/>
    <col min="15366" max="15366" width="13.625" style="152" customWidth="1"/>
    <col min="15367" max="15367" width="11.75" style="152" customWidth="1"/>
    <col min="15368" max="15368" width="13.25" style="152" customWidth="1"/>
    <col min="15369" max="15369" width="11.625" style="152" customWidth="1"/>
    <col min="15370" max="15370" width="12.625" style="152" customWidth="1"/>
    <col min="15371" max="15371" width="9.5" style="152" customWidth="1"/>
    <col min="15372" max="15372" width="10.75" style="152" customWidth="1"/>
    <col min="15373" max="15373" width="8" style="152" customWidth="1"/>
    <col min="15374" max="15375" width="9" style="152"/>
    <col min="15376" max="15376" width="9.375" style="152" customWidth="1"/>
    <col min="15377" max="15377" width="9" style="152"/>
    <col min="15378" max="15378" width="7.5" style="152" customWidth="1"/>
    <col min="15379" max="15379" width="9.875" style="152" customWidth="1"/>
    <col min="15380" max="15616" width="9" style="152"/>
    <col min="15617" max="15617" width="14.375" style="152" customWidth="1"/>
    <col min="15618" max="15618" width="11.875" style="152" customWidth="1"/>
    <col min="15619" max="15619" width="13.875" style="152" customWidth="1"/>
    <col min="15620" max="15620" width="12.25" style="152" customWidth="1"/>
    <col min="15621" max="15621" width="12.625" style="152" customWidth="1"/>
    <col min="15622" max="15622" width="13.625" style="152" customWidth="1"/>
    <col min="15623" max="15623" width="11.75" style="152" customWidth="1"/>
    <col min="15624" max="15624" width="13.25" style="152" customWidth="1"/>
    <col min="15625" max="15625" width="11.625" style="152" customWidth="1"/>
    <col min="15626" max="15626" width="12.625" style="152" customWidth="1"/>
    <col min="15627" max="15627" width="9.5" style="152" customWidth="1"/>
    <col min="15628" max="15628" width="10.75" style="152" customWidth="1"/>
    <col min="15629" max="15629" width="8" style="152" customWidth="1"/>
    <col min="15630" max="15631" width="9" style="152"/>
    <col min="15632" max="15632" width="9.375" style="152" customWidth="1"/>
    <col min="15633" max="15633" width="9" style="152"/>
    <col min="15634" max="15634" width="7.5" style="152" customWidth="1"/>
    <col min="15635" max="15635" width="9.875" style="152" customWidth="1"/>
    <col min="15636" max="15872" width="9" style="152"/>
    <col min="15873" max="15873" width="14.375" style="152" customWidth="1"/>
    <col min="15874" max="15874" width="11.875" style="152" customWidth="1"/>
    <col min="15875" max="15875" width="13.875" style="152" customWidth="1"/>
    <col min="15876" max="15876" width="12.25" style="152" customWidth="1"/>
    <col min="15877" max="15877" width="12.625" style="152" customWidth="1"/>
    <col min="15878" max="15878" width="13.625" style="152" customWidth="1"/>
    <col min="15879" max="15879" width="11.75" style="152" customWidth="1"/>
    <col min="15880" max="15880" width="13.25" style="152" customWidth="1"/>
    <col min="15881" max="15881" width="11.625" style="152" customWidth="1"/>
    <col min="15882" max="15882" width="12.625" style="152" customWidth="1"/>
    <col min="15883" max="15883" width="9.5" style="152" customWidth="1"/>
    <col min="15884" max="15884" width="10.75" style="152" customWidth="1"/>
    <col min="15885" max="15885" width="8" style="152" customWidth="1"/>
    <col min="15886" max="15887" width="9" style="152"/>
    <col min="15888" max="15888" width="9.375" style="152" customWidth="1"/>
    <col min="15889" max="15889" width="9" style="152"/>
    <col min="15890" max="15890" width="7.5" style="152" customWidth="1"/>
    <col min="15891" max="15891" width="9.875" style="152" customWidth="1"/>
    <col min="15892" max="16128" width="9" style="152"/>
    <col min="16129" max="16129" width="14.375" style="152" customWidth="1"/>
    <col min="16130" max="16130" width="11.875" style="152" customWidth="1"/>
    <col min="16131" max="16131" width="13.875" style="152" customWidth="1"/>
    <col min="16132" max="16132" width="12.25" style="152" customWidth="1"/>
    <col min="16133" max="16133" width="12.625" style="152" customWidth="1"/>
    <col min="16134" max="16134" width="13.625" style="152" customWidth="1"/>
    <col min="16135" max="16135" width="11.75" style="152" customWidth="1"/>
    <col min="16136" max="16136" width="13.25" style="152" customWidth="1"/>
    <col min="16137" max="16137" width="11.625" style="152" customWidth="1"/>
    <col min="16138" max="16138" width="12.625" style="152" customWidth="1"/>
    <col min="16139" max="16139" width="9.5" style="152" customWidth="1"/>
    <col min="16140" max="16140" width="10.75" style="152" customWidth="1"/>
    <col min="16141" max="16141" width="8" style="152" customWidth="1"/>
    <col min="16142" max="16143" width="9" style="152"/>
    <col min="16144" max="16144" width="9.375" style="152" customWidth="1"/>
    <col min="16145" max="16145" width="9" style="152"/>
    <col min="16146" max="16146" width="7.5" style="152" customWidth="1"/>
    <col min="16147" max="16147" width="9.875" style="152" customWidth="1"/>
    <col min="16148" max="16384" width="9" style="152"/>
  </cols>
  <sheetData>
    <row r="1" spans="1:17" s="165" customFormat="1" ht="24" customHeight="1">
      <c r="A1" s="865" t="s">
        <v>553</v>
      </c>
      <c r="B1" s="865"/>
      <c r="C1" s="865"/>
      <c r="D1" s="865"/>
      <c r="E1" s="865"/>
      <c r="F1" s="865"/>
      <c r="G1" s="865"/>
      <c r="H1" s="865"/>
      <c r="I1" s="865"/>
      <c r="J1" s="865"/>
      <c r="K1" s="865"/>
      <c r="L1" s="865"/>
      <c r="M1" s="865"/>
      <c r="N1" s="865"/>
      <c r="O1" s="865"/>
      <c r="P1" s="865"/>
    </row>
    <row r="2" spans="1:17" s="165" customFormat="1" ht="24" customHeight="1" thickBot="1">
      <c r="A2" s="618"/>
      <c r="B2" s="618"/>
      <c r="C2" s="618"/>
      <c r="D2" s="618"/>
      <c r="E2" s="618"/>
      <c r="F2" s="618"/>
      <c r="G2" s="618"/>
      <c r="H2" s="618"/>
      <c r="I2" s="618"/>
      <c r="J2" s="618"/>
      <c r="K2" s="618"/>
      <c r="L2" s="618"/>
      <c r="M2" s="618"/>
      <c r="N2" s="618"/>
      <c r="O2" s="618"/>
      <c r="P2" s="618"/>
    </row>
    <row r="3" spans="1:17" s="330" customFormat="1" ht="24.75" thickTop="1">
      <c r="A3" s="388" t="s">
        <v>554</v>
      </c>
      <c r="B3" s="389"/>
      <c r="C3" s="390"/>
      <c r="D3" s="187"/>
      <c r="E3" s="186"/>
      <c r="F3" s="186"/>
      <c r="G3" s="186"/>
      <c r="I3" s="391" t="s">
        <v>555</v>
      </c>
      <c r="J3" s="392" t="s">
        <v>556</v>
      </c>
      <c r="K3" s="392" t="s">
        <v>285</v>
      </c>
      <c r="L3" s="392" t="s">
        <v>557</v>
      </c>
      <c r="M3" s="392" t="s">
        <v>284</v>
      </c>
      <c r="N3" s="392" t="s">
        <v>283</v>
      </c>
      <c r="O3" s="392" t="s">
        <v>282</v>
      </c>
      <c r="P3" s="393" t="s">
        <v>558</v>
      </c>
      <c r="Q3" s="393" t="s">
        <v>943</v>
      </c>
    </row>
    <row r="4" spans="1:17" s="617" customFormat="1" ht="14.25" customHeight="1">
      <c r="A4" s="617" t="s">
        <v>559</v>
      </c>
      <c r="B4" s="273"/>
      <c r="C4" s="187"/>
      <c r="D4" s="187"/>
      <c r="E4" s="186"/>
      <c r="F4" s="186"/>
      <c r="G4" s="186"/>
      <c r="I4" s="394" t="s">
        <v>281</v>
      </c>
      <c r="J4" s="272">
        <v>10</v>
      </c>
      <c r="K4" s="270">
        <v>10</v>
      </c>
      <c r="L4" s="271">
        <v>30</v>
      </c>
      <c r="M4" s="270">
        <v>40</v>
      </c>
      <c r="N4" s="270">
        <v>2</v>
      </c>
      <c r="O4" s="270">
        <v>7</v>
      </c>
      <c r="P4" s="270">
        <v>7</v>
      </c>
      <c r="Q4" s="269">
        <v>3</v>
      </c>
    </row>
    <row r="5" spans="1:17" s="330" customFormat="1" ht="18.75" customHeight="1" thickBot="1">
      <c r="A5" s="330" t="s">
        <v>280</v>
      </c>
      <c r="C5" s="187"/>
      <c r="D5" s="187"/>
      <c r="I5" s="395" t="s">
        <v>560</v>
      </c>
      <c r="J5" s="268">
        <f t="shared" ref="J5:Q5" si="0">J4/(SUM($J$4:$N$4)+$O$4+$P$4+$Q$4)</f>
        <v>9.1743119266055051E-2</v>
      </c>
      <c r="K5" s="268">
        <f t="shared" si="0"/>
        <v>9.1743119266055051E-2</v>
      </c>
      <c r="L5" s="268">
        <f t="shared" si="0"/>
        <v>0.27522935779816515</v>
      </c>
      <c r="M5" s="268">
        <f t="shared" si="0"/>
        <v>0.3669724770642202</v>
      </c>
      <c r="N5" s="268">
        <f t="shared" si="0"/>
        <v>1.834862385321101E-2</v>
      </c>
      <c r="O5" s="268">
        <f t="shared" si="0"/>
        <v>6.4220183486238536E-2</v>
      </c>
      <c r="P5" s="268">
        <f t="shared" si="0"/>
        <v>6.4220183486238536E-2</v>
      </c>
      <c r="Q5" s="268">
        <f t="shared" si="0"/>
        <v>2.7522935779816515E-2</v>
      </c>
    </row>
    <row r="6" spans="1:17" s="330" customFormat="1" ht="42" customHeight="1" thickTop="1">
      <c r="A6" s="948" t="s">
        <v>959</v>
      </c>
      <c r="B6" s="949"/>
      <c r="C6" s="621" t="s">
        <v>95</v>
      </c>
      <c r="D6" s="944">
        <f>SUM($E$8:$E$21)/SUM($D$8:$D$21)*100</f>
        <v>89.971346704871053</v>
      </c>
      <c r="E6" s="945"/>
      <c r="F6" s="622" t="s">
        <v>94</v>
      </c>
      <c r="G6" s="623">
        <f>((COUNTIF(G8:G21,"1"))/(COUNTIF(F8:F21,"1")+COUNTIF(F8:F21,"0")))*100</f>
        <v>41.666666666666671</v>
      </c>
    </row>
    <row r="7" spans="1:17" s="330" customFormat="1" ht="34.5" customHeight="1">
      <c r="A7" s="624" t="s">
        <v>278</v>
      </c>
      <c r="B7" s="624" t="s">
        <v>561</v>
      </c>
      <c r="C7" s="624" t="s">
        <v>277</v>
      </c>
      <c r="D7" s="624" t="s">
        <v>276</v>
      </c>
      <c r="E7" s="624" t="s">
        <v>562</v>
      </c>
      <c r="F7" s="624" t="s">
        <v>275</v>
      </c>
      <c r="G7" s="624" t="s">
        <v>563</v>
      </c>
      <c r="H7" s="431" t="str">
        <f>CONCATENATE("第",COLUMN(H7)-COLUMN($G$7),"周")</f>
        <v>第1周</v>
      </c>
      <c r="I7" s="431" t="str">
        <f>CONCATENATE("第",COLUMN(I7)-COLUMN($G$7),"周")</f>
        <v>第2周</v>
      </c>
      <c r="J7" s="431" t="str">
        <f>CONCATENATE("第",COLUMN(J7)-COLUMN($G$7),"周")</f>
        <v>第3周</v>
      </c>
    </row>
    <row r="8" spans="1:17" s="191" customFormat="1" ht="15" customHeight="1">
      <c r="A8" s="625" t="s">
        <v>274</v>
      </c>
      <c r="B8" s="625" t="s">
        <v>564</v>
      </c>
      <c r="C8" s="625">
        <v>5</v>
      </c>
      <c r="D8" s="629">
        <v>1.25</v>
      </c>
      <c r="E8" s="626">
        <f t="shared" ref="E8:E21" si="1">IF(ISBLANK(C8),"-",IF(5&lt;=C8,1.6,IF(AND(3&lt;=C8,5&gt;C8),1.25,IF(AND(2&lt;=C8,3&gt;C8),1,IF(AND(2&gt;C8,1.5&lt;=C8),0.8,IF(AND(1.5&gt;C8,1&lt;=C8),0.7,0.5))))))</f>
        <v>1.6</v>
      </c>
      <c r="F8" s="627">
        <v>1</v>
      </c>
      <c r="G8" s="627">
        <v>0</v>
      </c>
      <c r="H8" s="628">
        <v>5</v>
      </c>
      <c r="I8" s="628"/>
      <c r="J8" s="628"/>
    </row>
    <row r="9" spans="1:17" s="191" customFormat="1" ht="15" customHeight="1">
      <c r="A9" s="625" t="s">
        <v>273</v>
      </c>
      <c r="B9" s="625" t="s">
        <v>564</v>
      </c>
      <c r="C9" s="625">
        <v>5</v>
      </c>
      <c r="D9" s="629">
        <v>2</v>
      </c>
      <c r="E9" s="626">
        <f t="shared" si="1"/>
        <v>1.6</v>
      </c>
      <c r="F9" s="627">
        <v>1</v>
      </c>
      <c r="G9" s="627">
        <v>1</v>
      </c>
      <c r="H9" s="628">
        <v>5</v>
      </c>
      <c r="I9" s="628"/>
      <c r="J9" s="628"/>
    </row>
    <row r="10" spans="1:17" s="191" customFormat="1" ht="15" customHeight="1">
      <c r="A10" s="625" t="s">
        <v>272</v>
      </c>
      <c r="B10" s="625" t="s">
        <v>564</v>
      </c>
      <c r="C10" s="625">
        <v>2</v>
      </c>
      <c r="D10" s="629">
        <v>1.25</v>
      </c>
      <c r="E10" s="626">
        <f t="shared" si="1"/>
        <v>1</v>
      </c>
      <c r="F10" s="627">
        <v>1</v>
      </c>
      <c r="G10" s="627">
        <v>0</v>
      </c>
      <c r="H10" s="628">
        <v>5</v>
      </c>
      <c r="I10" s="628"/>
      <c r="J10" s="628"/>
    </row>
    <row r="11" spans="1:17" s="191" customFormat="1" ht="15" customHeight="1">
      <c r="A11" s="625" t="s">
        <v>271</v>
      </c>
      <c r="B11" s="625" t="s">
        <v>918</v>
      </c>
      <c r="C11" s="625">
        <v>2</v>
      </c>
      <c r="D11" s="629">
        <v>1.25</v>
      </c>
      <c r="E11" s="626">
        <f t="shared" si="1"/>
        <v>1</v>
      </c>
      <c r="F11" s="627">
        <v>1</v>
      </c>
      <c r="G11" s="627">
        <v>1</v>
      </c>
      <c r="H11" s="628">
        <v>5</v>
      </c>
      <c r="I11" s="628"/>
      <c r="J11" s="628"/>
    </row>
    <row r="12" spans="1:17" s="191" customFormat="1" ht="15" customHeight="1">
      <c r="A12" s="625" t="s">
        <v>270</v>
      </c>
      <c r="B12" s="625" t="s">
        <v>564</v>
      </c>
      <c r="C12" s="625">
        <v>2</v>
      </c>
      <c r="D12" s="629">
        <v>1.25</v>
      </c>
      <c r="E12" s="626">
        <f t="shared" si="1"/>
        <v>1</v>
      </c>
      <c r="F12" s="627">
        <v>1</v>
      </c>
      <c r="G12" s="627">
        <v>0</v>
      </c>
      <c r="H12" s="628">
        <v>5</v>
      </c>
      <c r="I12" s="628"/>
      <c r="J12" s="628"/>
    </row>
    <row r="13" spans="1:17" s="191" customFormat="1" ht="15" customHeight="1">
      <c r="A13" s="625" t="s">
        <v>269</v>
      </c>
      <c r="B13" s="625" t="s">
        <v>565</v>
      </c>
      <c r="C13" s="625">
        <v>2</v>
      </c>
      <c r="D13" s="629">
        <v>1.25</v>
      </c>
      <c r="E13" s="626">
        <f t="shared" si="1"/>
        <v>1</v>
      </c>
      <c r="F13" s="627">
        <v>1</v>
      </c>
      <c r="G13" s="627">
        <v>0</v>
      </c>
      <c r="H13" s="628">
        <v>5</v>
      </c>
      <c r="I13" s="628"/>
      <c r="J13" s="628"/>
    </row>
    <row r="14" spans="1:17" s="191" customFormat="1" ht="15" customHeight="1">
      <c r="A14" s="625" t="s">
        <v>566</v>
      </c>
      <c r="B14" s="625" t="s">
        <v>564</v>
      </c>
      <c r="C14" s="625">
        <v>6</v>
      </c>
      <c r="D14" s="629">
        <v>1.25</v>
      </c>
      <c r="E14" s="626">
        <f t="shared" si="1"/>
        <v>1.6</v>
      </c>
      <c r="F14" s="627">
        <v>1</v>
      </c>
      <c r="G14" s="627">
        <v>0</v>
      </c>
      <c r="H14" s="628">
        <v>5</v>
      </c>
      <c r="I14" s="628"/>
      <c r="J14" s="628"/>
    </row>
    <row r="15" spans="1:17" s="191" customFormat="1" ht="15" customHeight="1">
      <c r="A15" s="625" t="s">
        <v>268</v>
      </c>
      <c r="B15" s="625" t="s">
        <v>564</v>
      </c>
      <c r="C15" s="625">
        <v>1</v>
      </c>
      <c r="D15" s="629">
        <v>1</v>
      </c>
      <c r="E15" s="626">
        <f t="shared" si="1"/>
        <v>0.7</v>
      </c>
      <c r="F15" s="627">
        <v>1</v>
      </c>
      <c r="G15" s="627">
        <v>0</v>
      </c>
      <c r="H15" s="628">
        <v>5</v>
      </c>
      <c r="I15" s="628"/>
      <c r="J15" s="628"/>
    </row>
    <row r="16" spans="1:17" s="191" customFormat="1" ht="15" customHeight="1">
      <c r="A16" s="625" t="s">
        <v>268</v>
      </c>
      <c r="B16" s="625" t="s">
        <v>567</v>
      </c>
      <c r="C16" s="625">
        <v>3</v>
      </c>
      <c r="D16" s="629">
        <v>1.25</v>
      </c>
      <c r="E16" s="626">
        <f t="shared" si="1"/>
        <v>1.25</v>
      </c>
      <c r="F16" s="627">
        <v>1</v>
      </c>
      <c r="G16" s="627">
        <v>0</v>
      </c>
      <c r="H16" s="628">
        <v>5</v>
      </c>
      <c r="I16" s="628"/>
      <c r="J16" s="628"/>
    </row>
    <row r="17" spans="1:10" s="191" customFormat="1" ht="15" customHeight="1">
      <c r="A17" s="625" t="s">
        <v>267</v>
      </c>
      <c r="B17" s="625" t="s">
        <v>564</v>
      </c>
      <c r="C17" s="625">
        <v>3</v>
      </c>
      <c r="D17" s="629">
        <v>1.25</v>
      </c>
      <c r="E17" s="626">
        <f t="shared" si="1"/>
        <v>1.25</v>
      </c>
      <c r="F17" s="627">
        <v>1</v>
      </c>
      <c r="G17" s="627">
        <v>1</v>
      </c>
      <c r="H17" s="628">
        <v>5</v>
      </c>
      <c r="I17" s="628"/>
      <c r="J17" s="628"/>
    </row>
    <row r="18" spans="1:10" s="191" customFormat="1" ht="15" customHeight="1">
      <c r="A18" s="625" t="s">
        <v>267</v>
      </c>
      <c r="B18" s="625" t="s">
        <v>565</v>
      </c>
      <c r="C18" s="625">
        <v>2</v>
      </c>
      <c r="D18" s="629">
        <v>1.25</v>
      </c>
      <c r="E18" s="626">
        <f t="shared" si="1"/>
        <v>1</v>
      </c>
      <c r="F18" s="627">
        <v>1</v>
      </c>
      <c r="G18" s="627">
        <v>1</v>
      </c>
      <c r="H18" s="628">
        <v>5</v>
      </c>
      <c r="I18" s="628"/>
      <c r="J18" s="628"/>
    </row>
    <row r="19" spans="1:10" s="191" customFormat="1" ht="15" customHeight="1">
      <c r="A19" s="625" t="s">
        <v>267</v>
      </c>
      <c r="B19" s="625" t="s">
        <v>568</v>
      </c>
      <c r="C19" s="625">
        <v>1</v>
      </c>
      <c r="D19" s="629">
        <v>1.25</v>
      </c>
      <c r="E19" s="626">
        <f t="shared" ref="E19" si="2">IF(ISBLANK(C19),"-",IF(5&lt;=C19,1.6,IF(AND(3&lt;=C19,5&gt;C19),1.25,IF(AND(2&lt;=C19,3&gt;C19),1,IF(AND(2&gt;C19,1.5&lt;=C19),0.8,IF(AND(1.5&gt;C19,1&lt;=C19),0.7,0.5))))))</f>
        <v>0.7</v>
      </c>
      <c r="F19" s="630">
        <v>1</v>
      </c>
      <c r="G19" s="630">
        <v>1</v>
      </c>
      <c r="H19" s="628">
        <v>5</v>
      </c>
      <c r="I19" s="628"/>
      <c r="J19" s="628"/>
    </row>
    <row r="20" spans="1:10" s="191" customFormat="1" ht="15" customHeight="1">
      <c r="A20" s="625" t="s">
        <v>266</v>
      </c>
      <c r="B20" s="625" t="s">
        <v>568</v>
      </c>
      <c r="C20" s="625">
        <v>2</v>
      </c>
      <c r="D20" s="629">
        <v>0.7</v>
      </c>
      <c r="E20" s="626">
        <f t="shared" si="1"/>
        <v>1</v>
      </c>
      <c r="F20" s="630" t="s">
        <v>2</v>
      </c>
      <c r="G20" s="630" t="s">
        <v>2</v>
      </c>
      <c r="H20" s="628">
        <v>5</v>
      </c>
      <c r="I20" s="628"/>
      <c r="J20" s="628"/>
    </row>
    <row r="21" spans="1:10" s="191" customFormat="1" ht="15" customHeight="1">
      <c r="A21" s="625" t="s">
        <v>919</v>
      </c>
      <c r="B21" s="625" t="s">
        <v>568</v>
      </c>
      <c r="C21" s="625">
        <v>2</v>
      </c>
      <c r="D21" s="629">
        <v>1.25</v>
      </c>
      <c r="E21" s="626">
        <f t="shared" si="1"/>
        <v>1</v>
      </c>
      <c r="F21" s="630" t="s">
        <v>2</v>
      </c>
      <c r="G21" s="630" t="s">
        <v>2</v>
      </c>
      <c r="H21" s="628">
        <v>5</v>
      </c>
      <c r="I21" s="628"/>
      <c r="J21" s="628"/>
    </row>
    <row r="24" spans="1:10">
      <c r="A24" s="337" t="s">
        <v>569</v>
      </c>
      <c r="B24" s="364"/>
    </row>
    <row r="25" spans="1:10">
      <c r="A25" s="330" t="s">
        <v>570</v>
      </c>
    </row>
    <row r="26" spans="1:10">
      <c r="A26" s="330" t="s">
        <v>571</v>
      </c>
    </row>
    <row r="27" spans="1:10" ht="12.75" thickBot="1">
      <c r="A27" s="330"/>
    </row>
    <row r="28" spans="1:10" ht="12.75" thickTop="1">
      <c r="A28" s="397" t="s">
        <v>572</v>
      </c>
      <c r="B28" s="398" t="s">
        <v>573</v>
      </c>
      <c r="C28" s="398" t="s">
        <v>574</v>
      </c>
      <c r="D28" s="398" t="s">
        <v>575</v>
      </c>
      <c r="E28" s="398" t="s">
        <v>576</v>
      </c>
      <c r="F28" s="399" t="s">
        <v>577</v>
      </c>
      <c r="G28" s="398" t="s">
        <v>578</v>
      </c>
      <c r="H28" s="398" t="s">
        <v>579</v>
      </c>
      <c r="I28" s="398" t="s">
        <v>580</v>
      </c>
      <c r="J28" s="400" t="s">
        <v>581</v>
      </c>
    </row>
    <row r="29" spans="1:10" ht="12.75" thickBot="1">
      <c r="A29" s="655">
        <f>AVERAGE(E8:E21)</f>
        <v>1.1214285714285714</v>
      </c>
      <c r="B29" s="656">
        <f>AVERAGEIF($A$8:$A$21,"项目经理",$E$8:$E$21)</f>
        <v>1.6</v>
      </c>
      <c r="C29" s="656">
        <f>AVERAGEIF(A8:A21,"策划工程师",E8:E21)</f>
        <v>1</v>
      </c>
      <c r="D29" s="656">
        <f>AVERAGEIF(A8:A21,"需求分析师",E8:E21)</f>
        <v>1</v>
      </c>
      <c r="E29" s="656">
        <f>AVERAGEIF(A8:A21,"开发工程师",E8:E21)</f>
        <v>1.1833333333333333</v>
      </c>
      <c r="F29" s="656">
        <f>AVERAGEIF(A8:A21,"测试工程师",E8:E21)</f>
        <v>0.98333333333333339</v>
      </c>
      <c r="G29" s="656">
        <f>AVERAGEIF(A8:A21,"UI及美工",E8:E21)</f>
        <v>1</v>
      </c>
      <c r="H29" s="656" t="e">
        <f>AVERAGEIF(A8:A21,"架构师",E8:E21)</f>
        <v>#DIV/0!</v>
      </c>
      <c r="I29" s="656">
        <f>AVERAGEIF(A8:A21,"质量保证工程师",E8:E21)</f>
        <v>1</v>
      </c>
      <c r="J29" s="657">
        <f>AVERAGEIF(A8:A21,"配置管理员",E8:E21)</f>
        <v>1</v>
      </c>
    </row>
    <row r="30" spans="1:10" s="250" customFormat="1" ht="12.75" thickTop="1">
      <c r="A30" s="401"/>
      <c r="B30" s="401"/>
      <c r="C30" s="402"/>
      <c r="D30" s="402"/>
      <c r="E30" s="402"/>
      <c r="F30" s="402"/>
      <c r="G30" s="402"/>
      <c r="H30" s="402"/>
      <c r="I30" s="402"/>
      <c r="J30" s="403"/>
    </row>
    <row r="31" spans="1:10">
      <c r="A31" s="386" t="s">
        <v>582</v>
      </c>
      <c r="B31" s="364"/>
    </row>
    <row r="32" spans="1:10">
      <c r="A32" s="248" t="s">
        <v>583</v>
      </c>
    </row>
    <row r="33" spans="1:11">
      <c r="A33" s="248" t="s">
        <v>584</v>
      </c>
    </row>
    <row r="34" spans="1:11" ht="12.75" thickBot="1"/>
    <row r="35" spans="1:11" ht="12.75" thickTop="1">
      <c r="A35" s="404" t="s">
        <v>585</v>
      </c>
      <c r="B35" s="405" t="s">
        <v>586</v>
      </c>
      <c r="C35" s="405" t="s">
        <v>587</v>
      </c>
      <c r="D35" s="946" t="s">
        <v>588</v>
      </c>
      <c r="E35" s="947"/>
    </row>
    <row r="36" spans="1:11">
      <c r="A36" s="406" t="s">
        <v>589</v>
      </c>
      <c r="B36" s="267">
        <v>10</v>
      </c>
      <c r="C36" s="267">
        <v>5</v>
      </c>
      <c r="D36" s="937">
        <f>C36/B36*100</f>
        <v>50</v>
      </c>
      <c r="E36" s="938"/>
    </row>
    <row r="37" spans="1:11">
      <c r="A37" s="406" t="s">
        <v>590</v>
      </c>
      <c r="B37" s="267">
        <v>10</v>
      </c>
      <c r="C37" s="267">
        <v>3</v>
      </c>
      <c r="D37" s="937">
        <f>C37/B37*100</f>
        <v>30</v>
      </c>
      <c r="E37" s="938"/>
    </row>
    <row r="38" spans="1:11">
      <c r="A38" s="406" t="s">
        <v>591</v>
      </c>
      <c r="B38" s="267">
        <v>10</v>
      </c>
      <c r="C38" s="267">
        <v>2</v>
      </c>
      <c r="D38" s="937">
        <f>C38/B38*100</f>
        <v>20</v>
      </c>
      <c r="E38" s="938"/>
    </row>
    <row r="39" spans="1:11">
      <c r="A39" s="406" t="s">
        <v>592</v>
      </c>
      <c r="B39" s="267">
        <v>10</v>
      </c>
      <c r="C39" s="266">
        <v>1</v>
      </c>
      <c r="D39" s="937">
        <f>C39/B39*100</f>
        <v>10</v>
      </c>
      <c r="E39" s="938"/>
    </row>
    <row r="40" spans="1:11" ht="15.75" customHeight="1" thickBot="1">
      <c r="A40" s="407" t="s">
        <v>593</v>
      </c>
      <c r="B40" s="265">
        <v>10</v>
      </c>
      <c r="C40" s="265">
        <v>3</v>
      </c>
      <c r="D40" s="939">
        <f>C40/B40*100</f>
        <v>30</v>
      </c>
      <c r="E40" s="940"/>
      <c r="K40" s="259">
        <f>H48</f>
        <v>0.3</v>
      </c>
    </row>
    <row r="41" spans="1:11" ht="12.75" thickTop="1">
      <c r="K41" s="259">
        <f>H49</f>
        <v>0.27272727272727271</v>
      </c>
    </row>
    <row r="42" spans="1:11">
      <c r="K42" s="259">
        <f>H50</f>
        <v>0.33333333333333331</v>
      </c>
    </row>
    <row r="43" spans="1:11">
      <c r="A43" s="337" t="s">
        <v>594</v>
      </c>
      <c r="B43" s="387"/>
      <c r="C43" s="408"/>
      <c r="K43" s="259">
        <f>H51</f>
        <v>0.5</v>
      </c>
    </row>
    <row r="44" spans="1:11">
      <c r="A44" s="330" t="s">
        <v>595</v>
      </c>
      <c r="K44" s="259">
        <f>H52</f>
        <v>0.15789473684210525</v>
      </c>
    </row>
    <row r="45" spans="1:11">
      <c r="A45" s="330" t="s">
        <v>596</v>
      </c>
    </row>
    <row r="46" spans="1:11" ht="12.75" thickBot="1"/>
    <row r="47" spans="1:11" ht="12.75" thickTop="1">
      <c r="A47" s="409" t="s">
        <v>597</v>
      </c>
      <c r="B47" s="410" t="s">
        <v>598</v>
      </c>
      <c r="C47" s="411" t="s">
        <v>599</v>
      </c>
      <c r="D47" s="356" t="s">
        <v>600</v>
      </c>
      <c r="E47" s="356" t="s">
        <v>601</v>
      </c>
      <c r="F47" s="356" t="s">
        <v>602</v>
      </c>
      <c r="G47" s="396" t="s">
        <v>603</v>
      </c>
      <c r="H47" s="412" t="s">
        <v>604</v>
      </c>
      <c r="J47" s="152" t="str">
        <f>A48</f>
        <v>需求阶段</v>
      </c>
    </row>
    <row r="48" spans="1:11">
      <c r="A48" s="413" t="s">
        <v>605</v>
      </c>
      <c r="B48" s="264">
        <v>10</v>
      </c>
      <c r="C48" s="263">
        <v>1</v>
      </c>
      <c r="D48" s="262">
        <v>0</v>
      </c>
      <c r="E48" s="262">
        <v>1</v>
      </c>
      <c r="F48" s="262">
        <v>1</v>
      </c>
      <c r="G48" s="414">
        <f t="shared" ref="G48:G53" si="3">B48+C48+E48-D48-F48</f>
        <v>11</v>
      </c>
      <c r="H48" s="415">
        <f t="shared" ref="H48:H53" si="4">SUM(C48:F48)/B48</f>
        <v>0.3</v>
      </c>
      <c r="J48" s="152" t="str">
        <f>A49</f>
        <v>设计阶段</v>
      </c>
    </row>
    <row r="49" spans="1:11">
      <c r="A49" s="413" t="s">
        <v>590</v>
      </c>
      <c r="B49" s="264">
        <f>G48</f>
        <v>11</v>
      </c>
      <c r="C49" s="263">
        <v>1</v>
      </c>
      <c r="D49" s="262">
        <v>0</v>
      </c>
      <c r="E49" s="262">
        <v>1</v>
      </c>
      <c r="F49" s="262">
        <v>1</v>
      </c>
      <c r="G49" s="414">
        <f t="shared" si="3"/>
        <v>12</v>
      </c>
      <c r="H49" s="415">
        <f t="shared" si="4"/>
        <v>0.27272727272727271</v>
      </c>
      <c r="J49" s="152" t="str">
        <f>A50</f>
        <v>编码阶段</v>
      </c>
    </row>
    <row r="50" spans="1:11">
      <c r="A50" s="413" t="s">
        <v>591</v>
      </c>
      <c r="B50" s="264">
        <f>G49</f>
        <v>12</v>
      </c>
      <c r="C50" s="263">
        <v>1</v>
      </c>
      <c r="D50" s="262">
        <v>0</v>
      </c>
      <c r="E50" s="262">
        <v>2</v>
      </c>
      <c r="F50" s="262">
        <v>1</v>
      </c>
      <c r="G50" s="414">
        <f t="shared" si="3"/>
        <v>14</v>
      </c>
      <c r="H50" s="415">
        <f t="shared" si="4"/>
        <v>0.33333333333333331</v>
      </c>
      <c r="J50" s="152" t="str">
        <f>A51</f>
        <v>测试阶段</v>
      </c>
    </row>
    <row r="51" spans="1:11">
      <c r="A51" s="413" t="s">
        <v>606</v>
      </c>
      <c r="B51" s="264">
        <f>G50</f>
        <v>14</v>
      </c>
      <c r="C51" s="263">
        <v>1</v>
      </c>
      <c r="D51" s="262">
        <v>0</v>
      </c>
      <c r="E51" s="262">
        <v>5</v>
      </c>
      <c r="F51" s="262">
        <v>1</v>
      </c>
      <c r="G51" s="414">
        <f t="shared" si="3"/>
        <v>19</v>
      </c>
      <c r="H51" s="415">
        <f t="shared" si="4"/>
        <v>0.5</v>
      </c>
      <c r="J51" s="152" t="str">
        <f>A52</f>
        <v>验收阶段</v>
      </c>
    </row>
    <row r="52" spans="1:11">
      <c r="A52" s="413" t="s">
        <v>607</v>
      </c>
      <c r="B52" s="264">
        <f>G51</f>
        <v>19</v>
      </c>
      <c r="C52" s="263">
        <v>1</v>
      </c>
      <c r="D52" s="262">
        <v>0</v>
      </c>
      <c r="E52" s="262">
        <v>1</v>
      </c>
      <c r="F52" s="262">
        <v>1</v>
      </c>
      <c r="G52" s="414">
        <f t="shared" si="3"/>
        <v>20</v>
      </c>
      <c r="H52" s="415">
        <f t="shared" si="4"/>
        <v>0.15789473684210525</v>
      </c>
    </row>
    <row r="53" spans="1:11" ht="17.25" customHeight="1" thickBot="1">
      <c r="A53" s="416" t="s">
        <v>608</v>
      </c>
      <c r="B53" s="261">
        <f>MAX(B48:B52)</f>
        <v>19</v>
      </c>
      <c r="C53" s="658">
        <f>SUM(C48:C52)</f>
        <v>5</v>
      </c>
      <c r="D53" s="658">
        <f>SUM(D48:D52)</f>
        <v>0</v>
      </c>
      <c r="E53" s="658">
        <v>2</v>
      </c>
      <c r="F53" s="658">
        <f>SUM(F48:F52)</f>
        <v>5</v>
      </c>
      <c r="G53" s="417">
        <f t="shared" si="3"/>
        <v>21</v>
      </c>
      <c r="H53" s="418">
        <f t="shared" si="4"/>
        <v>0.63157894736842102</v>
      </c>
    </row>
    <row r="54" spans="1:11" ht="12" customHeight="1" thickTop="1">
      <c r="K54" s="259">
        <f>D61</f>
        <v>0.96753533179243789</v>
      </c>
    </row>
    <row r="55" spans="1:11" ht="12" customHeight="1">
      <c r="J55" s="248"/>
      <c r="K55" s="259">
        <f>D62</f>
        <v>1.2517972212910196</v>
      </c>
    </row>
    <row r="56" spans="1:11" ht="12" customHeight="1">
      <c r="B56" s="260"/>
      <c r="K56" s="259">
        <f>D63</f>
        <v>1.4107721533132196</v>
      </c>
    </row>
    <row r="57" spans="1:11" ht="12" customHeight="1">
      <c r="A57" s="941" t="s">
        <v>609</v>
      </c>
      <c r="B57" s="942"/>
      <c r="C57" s="943"/>
      <c r="K57" s="259">
        <f>D64</f>
        <v>0.94842999217789725</v>
      </c>
    </row>
    <row r="58" spans="1:11" ht="12" customHeight="1">
      <c r="A58" s="248" t="s">
        <v>610</v>
      </c>
      <c r="K58" s="259">
        <f>D65</f>
        <v>0.94636272209185368</v>
      </c>
    </row>
    <row r="59" spans="1:11" ht="12" customHeight="1" thickBot="1">
      <c r="A59" s="248" t="s">
        <v>611</v>
      </c>
      <c r="C59" s="152"/>
      <c r="D59" s="152"/>
    </row>
    <row r="60" spans="1:11" ht="12.75" thickTop="1">
      <c r="A60" s="419" t="s">
        <v>597</v>
      </c>
      <c r="B60" s="420" t="s">
        <v>952</v>
      </c>
      <c r="C60" s="420" t="s">
        <v>612</v>
      </c>
      <c r="D60" s="421" t="s">
        <v>613</v>
      </c>
    </row>
    <row r="61" spans="1:11">
      <c r="A61" s="422" t="s">
        <v>605</v>
      </c>
      <c r="B61" s="659">
        <f>工作量分布!C13</f>
        <v>113.35399999999998</v>
      </c>
      <c r="C61" s="659">
        <f>工作量分布!D13</f>
        <v>109.67399999999999</v>
      </c>
      <c r="D61" s="423">
        <f t="shared" ref="D61:D66" si="5">C61/B61</f>
        <v>0.96753533179243789</v>
      </c>
      <c r="I61" s="152" t="str">
        <f>A61</f>
        <v>需求阶段</v>
      </c>
    </row>
    <row r="62" spans="1:11">
      <c r="A62" s="422" t="s">
        <v>614</v>
      </c>
      <c r="B62" s="659">
        <f>工作量分布!E13</f>
        <v>26.846999999999998</v>
      </c>
      <c r="C62" s="659">
        <f>工作量分布!F13</f>
        <v>33.606999999999999</v>
      </c>
      <c r="D62" s="423">
        <f t="shared" si="5"/>
        <v>1.2517972212910196</v>
      </c>
      <c r="I62" s="152" t="str">
        <f>A62</f>
        <v>设计阶段</v>
      </c>
    </row>
    <row r="63" spans="1:11">
      <c r="A63" s="422" t="s">
        <v>591</v>
      </c>
      <c r="B63" s="659">
        <f>工作量分布!G13</f>
        <v>71.591999999999985</v>
      </c>
      <c r="C63" s="659">
        <f>工作量分布!H13</f>
        <v>101</v>
      </c>
      <c r="D63" s="423">
        <f t="shared" si="5"/>
        <v>1.4107721533132196</v>
      </c>
      <c r="I63" s="152" t="str">
        <f>A63</f>
        <v>编码阶段</v>
      </c>
    </row>
    <row r="64" spans="1:11">
      <c r="A64" s="422" t="s">
        <v>6</v>
      </c>
      <c r="B64" s="659">
        <f>工作量分布!I13</f>
        <v>71.591999999999985</v>
      </c>
      <c r="C64" s="659">
        <f>工作量分布!J13</f>
        <v>67.900000000000006</v>
      </c>
      <c r="D64" s="423">
        <f t="shared" si="5"/>
        <v>0.94842999217789725</v>
      </c>
      <c r="I64" s="152" t="str">
        <f>A64</f>
        <v>测试阶段</v>
      </c>
    </row>
    <row r="65" spans="1:9">
      <c r="A65" s="422" t="s">
        <v>615</v>
      </c>
      <c r="B65" s="659">
        <f>工作量分布!K13</f>
        <v>14.915000000000001</v>
      </c>
      <c r="C65" s="659">
        <f>工作量分布!L13</f>
        <v>14.114999999999998</v>
      </c>
      <c r="D65" s="423">
        <f t="shared" si="5"/>
        <v>0.94636272209185368</v>
      </c>
      <c r="I65" s="152" t="str">
        <f>A65</f>
        <v>验收阶段</v>
      </c>
    </row>
    <row r="66" spans="1:9" ht="12.75" thickBot="1">
      <c r="A66" s="416" t="s">
        <v>616</v>
      </c>
      <c r="B66" s="660">
        <f>SUM(B61:B65)</f>
        <v>298.3</v>
      </c>
      <c r="C66" s="660">
        <f>SUM(C61:C65)</f>
        <v>326.29600000000005</v>
      </c>
      <c r="D66" s="662">
        <f t="shared" si="5"/>
        <v>1.0938518270197788</v>
      </c>
      <c r="E66" s="256"/>
      <c r="F66" s="255"/>
    </row>
    <row r="67" spans="1:9" ht="12.75" thickTop="1">
      <c r="A67" s="192"/>
      <c r="B67" s="255"/>
      <c r="C67" s="258"/>
      <c r="D67" s="257"/>
      <c r="E67" s="214"/>
      <c r="F67" s="256"/>
      <c r="G67" s="255"/>
    </row>
    <row r="68" spans="1:9" ht="18" customHeight="1">
      <c r="E68" s="214"/>
      <c r="F68" s="256"/>
      <c r="G68" s="255"/>
    </row>
    <row r="69" spans="1:9" ht="18.75" customHeight="1"/>
    <row r="72" spans="1:9">
      <c r="A72" s="332"/>
    </row>
  </sheetData>
  <mergeCells count="10">
    <mergeCell ref="D39:E39"/>
    <mergeCell ref="D40:E40"/>
    <mergeCell ref="A57:C57"/>
    <mergeCell ref="A1:P1"/>
    <mergeCell ref="D6:E6"/>
    <mergeCell ref="D35:E35"/>
    <mergeCell ref="D36:E36"/>
    <mergeCell ref="D37:E37"/>
    <mergeCell ref="D38:E38"/>
    <mergeCell ref="A6:B6"/>
  </mergeCells>
  <phoneticPr fontId="5" type="noConversion"/>
  <dataValidations count="3">
    <dataValidation type="list" allowBlank="1" showInputMessage="1" showErrorMessage="1" sqref="A65540:A65553 IW65540:IW65553 SS65540:SS65553 ACO65540:ACO65553 AMK65540:AMK65553 AWG65540:AWG65553 BGC65540:BGC65553 BPY65540:BPY65553 BZU65540:BZU65553 CJQ65540:CJQ65553 CTM65540:CTM65553 DDI65540:DDI65553 DNE65540:DNE65553 DXA65540:DXA65553 EGW65540:EGW65553 EQS65540:EQS65553 FAO65540:FAO65553 FKK65540:FKK65553 FUG65540:FUG65553 GEC65540:GEC65553 GNY65540:GNY65553 GXU65540:GXU65553 HHQ65540:HHQ65553 HRM65540:HRM65553 IBI65540:IBI65553 ILE65540:ILE65553 IVA65540:IVA65553 JEW65540:JEW65553 JOS65540:JOS65553 JYO65540:JYO65553 KIK65540:KIK65553 KSG65540:KSG65553 LCC65540:LCC65553 LLY65540:LLY65553 LVU65540:LVU65553 MFQ65540:MFQ65553 MPM65540:MPM65553 MZI65540:MZI65553 NJE65540:NJE65553 NTA65540:NTA65553 OCW65540:OCW65553 OMS65540:OMS65553 OWO65540:OWO65553 PGK65540:PGK65553 PQG65540:PQG65553 QAC65540:QAC65553 QJY65540:QJY65553 QTU65540:QTU65553 RDQ65540:RDQ65553 RNM65540:RNM65553 RXI65540:RXI65553 SHE65540:SHE65553 SRA65540:SRA65553 TAW65540:TAW65553 TKS65540:TKS65553 TUO65540:TUO65553 UEK65540:UEK65553 UOG65540:UOG65553 UYC65540:UYC65553 VHY65540:VHY65553 VRU65540:VRU65553 WBQ65540:WBQ65553 WLM65540:WLM65553 WVI65540:WVI65553 A131076:A131089 IW131076:IW131089 SS131076:SS131089 ACO131076:ACO131089 AMK131076:AMK131089 AWG131076:AWG131089 BGC131076:BGC131089 BPY131076:BPY131089 BZU131076:BZU131089 CJQ131076:CJQ131089 CTM131076:CTM131089 DDI131076:DDI131089 DNE131076:DNE131089 DXA131076:DXA131089 EGW131076:EGW131089 EQS131076:EQS131089 FAO131076:FAO131089 FKK131076:FKK131089 FUG131076:FUG131089 GEC131076:GEC131089 GNY131076:GNY131089 GXU131076:GXU131089 HHQ131076:HHQ131089 HRM131076:HRM131089 IBI131076:IBI131089 ILE131076:ILE131089 IVA131076:IVA131089 JEW131076:JEW131089 JOS131076:JOS131089 JYO131076:JYO131089 KIK131076:KIK131089 KSG131076:KSG131089 LCC131076:LCC131089 LLY131076:LLY131089 LVU131076:LVU131089 MFQ131076:MFQ131089 MPM131076:MPM131089 MZI131076:MZI131089 NJE131076:NJE131089 NTA131076:NTA131089 OCW131076:OCW131089 OMS131076:OMS131089 OWO131076:OWO131089 PGK131076:PGK131089 PQG131076:PQG131089 QAC131076:QAC131089 QJY131076:QJY131089 QTU131076:QTU131089 RDQ131076:RDQ131089 RNM131076:RNM131089 RXI131076:RXI131089 SHE131076:SHE131089 SRA131076:SRA131089 TAW131076:TAW131089 TKS131076:TKS131089 TUO131076:TUO131089 UEK131076:UEK131089 UOG131076:UOG131089 UYC131076:UYC131089 VHY131076:VHY131089 VRU131076:VRU131089 WBQ131076:WBQ131089 WLM131076:WLM131089 WVI131076:WVI131089 A196612:A196625 IW196612:IW196625 SS196612:SS196625 ACO196612:ACO196625 AMK196612:AMK196625 AWG196612:AWG196625 BGC196612:BGC196625 BPY196612:BPY196625 BZU196612:BZU196625 CJQ196612:CJQ196625 CTM196612:CTM196625 DDI196612:DDI196625 DNE196612:DNE196625 DXA196612:DXA196625 EGW196612:EGW196625 EQS196612:EQS196625 FAO196612:FAO196625 FKK196612:FKK196625 FUG196612:FUG196625 GEC196612:GEC196625 GNY196612:GNY196625 GXU196612:GXU196625 HHQ196612:HHQ196625 HRM196612:HRM196625 IBI196612:IBI196625 ILE196612:ILE196625 IVA196612:IVA196625 JEW196612:JEW196625 JOS196612:JOS196625 JYO196612:JYO196625 KIK196612:KIK196625 KSG196612:KSG196625 LCC196612:LCC196625 LLY196612:LLY196625 LVU196612:LVU196625 MFQ196612:MFQ196625 MPM196612:MPM196625 MZI196612:MZI196625 NJE196612:NJE196625 NTA196612:NTA196625 OCW196612:OCW196625 OMS196612:OMS196625 OWO196612:OWO196625 PGK196612:PGK196625 PQG196612:PQG196625 QAC196612:QAC196625 QJY196612:QJY196625 QTU196612:QTU196625 RDQ196612:RDQ196625 RNM196612:RNM196625 RXI196612:RXI196625 SHE196612:SHE196625 SRA196612:SRA196625 TAW196612:TAW196625 TKS196612:TKS196625 TUO196612:TUO196625 UEK196612:UEK196625 UOG196612:UOG196625 UYC196612:UYC196625 VHY196612:VHY196625 VRU196612:VRU196625 WBQ196612:WBQ196625 WLM196612:WLM196625 WVI196612:WVI196625 A262148:A262161 IW262148:IW262161 SS262148:SS262161 ACO262148:ACO262161 AMK262148:AMK262161 AWG262148:AWG262161 BGC262148:BGC262161 BPY262148:BPY262161 BZU262148:BZU262161 CJQ262148:CJQ262161 CTM262148:CTM262161 DDI262148:DDI262161 DNE262148:DNE262161 DXA262148:DXA262161 EGW262148:EGW262161 EQS262148:EQS262161 FAO262148:FAO262161 FKK262148:FKK262161 FUG262148:FUG262161 GEC262148:GEC262161 GNY262148:GNY262161 GXU262148:GXU262161 HHQ262148:HHQ262161 HRM262148:HRM262161 IBI262148:IBI262161 ILE262148:ILE262161 IVA262148:IVA262161 JEW262148:JEW262161 JOS262148:JOS262161 JYO262148:JYO262161 KIK262148:KIK262161 KSG262148:KSG262161 LCC262148:LCC262161 LLY262148:LLY262161 LVU262148:LVU262161 MFQ262148:MFQ262161 MPM262148:MPM262161 MZI262148:MZI262161 NJE262148:NJE262161 NTA262148:NTA262161 OCW262148:OCW262161 OMS262148:OMS262161 OWO262148:OWO262161 PGK262148:PGK262161 PQG262148:PQG262161 QAC262148:QAC262161 QJY262148:QJY262161 QTU262148:QTU262161 RDQ262148:RDQ262161 RNM262148:RNM262161 RXI262148:RXI262161 SHE262148:SHE262161 SRA262148:SRA262161 TAW262148:TAW262161 TKS262148:TKS262161 TUO262148:TUO262161 UEK262148:UEK262161 UOG262148:UOG262161 UYC262148:UYC262161 VHY262148:VHY262161 VRU262148:VRU262161 WBQ262148:WBQ262161 WLM262148:WLM262161 WVI262148:WVI262161 A327684:A327697 IW327684:IW327697 SS327684:SS327697 ACO327684:ACO327697 AMK327684:AMK327697 AWG327684:AWG327697 BGC327684:BGC327697 BPY327684:BPY327697 BZU327684:BZU327697 CJQ327684:CJQ327697 CTM327684:CTM327697 DDI327684:DDI327697 DNE327684:DNE327697 DXA327684:DXA327697 EGW327684:EGW327697 EQS327684:EQS327697 FAO327684:FAO327697 FKK327684:FKK327697 FUG327684:FUG327697 GEC327684:GEC327697 GNY327684:GNY327697 GXU327684:GXU327697 HHQ327684:HHQ327697 HRM327684:HRM327697 IBI327684:IBI327697 ILE327684:ILE327697 IVA327684:IVA327697 JEW327684:JEW327697 JOS327684:JOS327697 JYO327684:JYO327697 KIK327684:KIK327697 KSG327684:KSG327697 LCC327684:LCC327697 LLY327684:LLY327697 LVU327684:LVU327697 MFQ327684:MFQ327697 MPM327684:MPM327697 MZI327684:MZI327697 NJE327684:NJE327697 NTA327684:NTA327697 OCW327684:OCW327697 OMS327684:OMS327697 OWO327684:OWO327697 PGK327684:PGK327697 PQG327684:PQG327697 QAC327684:QAC327697 QJY327684:QJY327697 QTU327684:QTU327697 RDQ327684:RDQ327697 RNM327684:RNM327697 RXI327684:RXI327697 SHE327684:SHE327697 SRA327684:SRA327697 TAW327684:TAW327697 TKS327684:TKS327697 TUO327684:TUO327697 UEK327684:UEK327697 UOG327684:UOG327697 UYC327684:UYC327697 VHY327684:VHY327697 VRU327684:VRU327697 WBQ327684:WBQ327697 WLM327684:WLM327697 WVI327684:WVI327697 A393220:A393233 IW393220:IW393233 SS393220:SS393233 ACO393220:ACO393233 AMK393220:AMK393233 AWG393220:AWG393233 BGC393220:BGC393233 BPY393220:BPY393233 BZU393220:BZU393233 CJQ393220:CJQ393233 CTM393220:CTM393233 DDI393220:DDI393233 DNE393220:DNE393233 DXA393220:DXA393233 EGW393220:EGW393233 EQS393220:EQS393233 FAO393220:FAO393233 FKK393220:FKK393233 FUG393220:FUG393233 GEC393220:GEC393233 GNY393220:GNY393233 GXU393220:GXU393233 HHQ393220:HHQ393233 HRM393220:HRM393233 IBI393220:IBI393233 ILE393220:ILE393233 IVA393220:IVA393233 JEW393220:JEW393233 JOS393220:JOS393233 JYO393220:JYO393233 KIK393220:KIK393233 KSG393220:KSG393233 LCC393220:LCC393233 LLY393220:LLY393233 LVU393220:LVU393233 MFQ393220:MFQ393233 MPM393220:MPM393233 MZI393220:MZI393233 NJE393220:NJE393233 NTA393220:NTA393233 OCW393220:OCW393233 OMS393220:OMS393233 OWO393220:OWO393233 PGK393220:PGK393233 PQG393220:PQG393233 QAC393220:QAC393233 QJY393220:QJY393233 QTU393220:QTU393233 RDQ393220:RDQ393233 RNM393220:RNM393233 RXI393220:RXI393233 SHE393220:SHE393233 SRA393220:SRA393233 TAW393220:TAW393233 TKS393220:TKS393233 TUO393220:TUO393233 UEK393220:UEK393233 UOG393220:UOG393233 UYC393220:UYC393233 VHY393220:VHY393233 VRU393220:VRU393233 WBQ393220:WBQ393233 WLM393220:WLM393233 WVI393220:WVI393233 A458756:A458769 IW458756:IW458769 SS458756:SS458769 ACO458756:ACO458769 AMK458756:AMK458769 AWG458756:AWG458769 BGC458756:BGC458769 BPY458756:BPY458769 BZU458756:BZU458769 CJQ458756:CJQ458769 CTM458756:CTM458769 DDI458756:DDI458769 DNE458756:DNE458769 DXA458756:DXA458769 EGW458756:EGW458769 EQS458756:EQS458769 FAO458756:FAO458769 FKK458756:FKK458769 FUG458756:FUG458769 GEC458756:GEC458769 GNY458756:GNY458769 GXU458756:GXU458769 HHQ458756:HHQ458769 HRM458756:HRM458769 IBI458756:IBI458769 ILE458756:ILE458769 IVA458756:IVA458769 JEW458756:JEW458769 JOS458756:JOS458769 JYO458756:JYO458769 KIK458756:KIK458769 KSG458756:KSG458769 LCC458756:LCC458769 LLY458756:LLY458769 LVU458756:LVU458769 MFQ458756:MFQ458769 MPM458756:MPM458769 MZI458756:MZI458769 NJE458756:NJE458769 NTA458756:NTA458769 OCW458756:OCW458769 OMS458756:OMS458769 OWO458756:OWO458769 PGK458756:PGK458769 PQG458756:PQG458769 QAC458756:QAC458769 QJY458756:QJY458769 QTU458756:QTU458769 RDQ458756:RDQ458769 RNM458756:RNM458769 RXI458756:RXI458769 SHE458756:SHE458769 SRA458756:SRA458769 TAW458756:TAW458769 TKS458756:TKS458769 TUO458756:TUO458769 UEK458756:UEK458769 UOG458756:UOG458769 UYC458756:UYC458769 VHY458756:VHY458769 VRU458756:VRU458769 WBQ458756:WBQ458769 WLM458756:WLM458769 WVI458756:WVI458769 A524292:A524305 IW524292:IW524305 SS524292:SS524305 ACO524292:ACO524305 AMK524292:AMK524305 AWG524292:AWG524305 BGC524292:BGC524305 BPY524292:BPY524305 BZU524292:BZU524305 CJQ524292:CJQ524305 CTM524292:CTM524305 DDI524292:DDI524305 DNE524292:DNE524305 DXA524292:DXA524305 EGW524292:EGW524305 EQS524292:EQS524305 FAO524292:FAO524305 FKK524292:FKK524305 FUG524292:FUG524305 GEC524292:GEC524305 GNY524292:GNY524305 GXU524292:GXU524305 HHQ524292:HHQ524305 HRM524292:HRM524305 IBI524292:IBI524305 ILE524292:ILE524305 IVA524292:IVA524305 JEW524292:JEW524305 JOS524292:JOS524305 JYO524292:JYO524305 KIK524292:KIK524305 KSG524292:KSG524305 LCC524292:LCC524305 LLY524292:LLY524305 LVU524292:LVU524305 MFQ524292:MFQ524305 MPM524292:MPM524305 MZI524292:MZI524305 NJE524292:NJE524305 NTA524292:NTA524305 OCW524292:OCW524305 OMS524292:OMS524305 OWO524292:OWO524305 PGK524292:PGK524305 PQG524292:PQG524305 QAC524292:QAC524305 QJY524292:QJY524305 QTU524292:QTU524305 RDQ524292:RDQ524305 RNM524292:RNM524305 RXI524292:RXI524305 SHE524292:SHE524305 SRA524292:SRA524305 TAW524292:TAW524305 TKS524292:TKS524305 TUO524292:TUO524305 UEK524292:UEK524305 UOG524292:UOG524305 UYC524292:UYC524305 VHY524292:VHY524305 VRU524292:VRU524305 WBQ524292:WBQ524305 WLM524292:WLM524305 WVI524292:WVI524305 A589828:A589841 IW589828:IW589841 SS589828:SS589841 ACO589828:ACO589841 AMK589828:AMK589841 AWG589828:AWG589841 BGC589828:BGC589841 BPY589828:BPY589841 BZU589828:BZU589841 CJQ589828:CJQ589841 CTM589828:CTM589841 DDI589828:DDI589841 DNE589828:DNE589841 DXA589828:DXA589841 EGW589828:EGW589841 EQS589828:EQS589841 FAO589828:FAO589841 FKK589828:FKK589841 FUG589828:FUG589841 GEC589828:GEC589841 GNY589828:GNY589841 GXU589828:GXU589841 HHQ589828:HHQ589841 HRM589828:HRM589841 IBI589828:IBI589841 ILE589828:ILE589841 IVA589828:IVA589841 JEW589828:JEW589841 JOS589828:JOS589841 JYO589828:JYO589841 KIK589828:KIK589841 KSG589828:KSG589841 LCC589828:LCC589841 LLY589828:LLY589841 LVU589828:LVU589841 MFQ589828:MFQ589841 MPM589828:MPM589841 MZI589828:MZI589841 NJE589828:NJE589841 NTA589828:NTA589841 OCW589828:OCW589841 OMS589828:OMS589841 OWO589828:OWO589841 PGK589828:PGK589841 PQG589828:PQG589841 QAC589828:QAC589841 QJY589828:QJY589841 QTU589828:QTU589841 RDQ589828:RDQ589841 RNM589828:RNM589841 RXI589828:RXI589841 SHE589828:SHE589841 SRA589828:SRA589841 TAW589828:TAW589841 TKS589828:TKS589841 TUO589828:TUO589841 UEK589828:UEK589841 UOG589828:UOG589841 UYC589828:UYC589841 VHY589828:VHY589841 VRU589828:VRU589841 WBQ589828:WBQ589841 WLM589828:WLM589841 WVI589828:WVI589841 A655364:A655377 IW655364:IW655377 SS655364:SS655377 ACO655364:ACO655377 AMK655364:AMK655377 AWG655364:AWG655377 BGC655364:BGC655377 BPY655364:BPY655377 BZU655364:BZU655377 CJQ655364:CJQ655377 CTM655364:CTM655377 DDI655364:DDI655377 DNE655364:DNE655377 DXA655364:DXA655377 EGW655364:EGW655377 EQS655364:EQS655377 FAO655364:FAO655377 FKK655364:FKK655377 FUG655364:FUG655377 GEC655364:GEC655377 GNY655364:GNY655377 GXU655364:GXU655377 HHQ655364:HHQ655377 HRM655364:HRM655377 IBI655364:IBI655377 ILE655364:ILE655377 IVA655364:IVA655377 JEW655364:JEW655377 JOS655364:JOS655377 JYO655364:JYO655377 KIK655364:KIK655377 KSG655364:KSG655377 LCC655364:LCC655377 LLY655364:LLY655377 LVU655364:LVU655377 MFQ655364:MFQ655377 MPM655364:MPM655377 MZI655364:MZI655377 NJE655364:NJE655377 NTA655364:NTA655377 OCW655364:OCW655377 OMS655364:OMS655377 OWO655364:OWO655377 PGK655364:PGK655377 PQG655364:PQG655377 QAC655364:QAC655377 QJY655364:QJY655377 QTU655364:QTU655377 RDQ655364:RDQ655377 RNM655364:RNM655377 RXI655364:RXI655377 SHE655364:SHE655377 SRA655364:SRA655377 TAW655364:TAW655377 TKS655364:TKS655377 TUO655364:TUO655377 UEK655364:UEK655377 UOG655364:UOG655377 UYC655364:UYC655377 VHY655364:VHY655377 VRU655364:VRU655377 WBQ655364:WBQ655377 WLM655364:WLM655377 WVI655364:WVI655377 A720900:A720913 IW720900:IW720913 SS720900:SS720913 ACO720900:ACO720913 AMK720900:AMK720913 AWG720900:AWG720913 BGC720900:BGC720913 BPY720900:BPY720913 BZU720900:BZU720913 CJQ720900:CJQ720913 CTM720900:CTM720913 DDI720900:DDI720913 DNE720900:DNE720913 DXA720900:DXA720913 EGW720900:EGW720913 EQS720900:EQS720913 FAO720900:FAO720913 FKK720900:FKK720913 FUG720900:FUG720913 GEC720900:GEC720913 GNY720900:GNY720913 GXU720900:GXU720913 HHQ720900:HHQ720913 HRM720900:HRM720913 IBI720900:IBI720913 ILE720900:ILE720913 IVA720900:IVA720913 JEW720900:JEW720913 JOS720900:JOS720913 JYO720900:JYO720913 KIK720900:KIK720913 KSG720900:KSG720913 LCC720900:LCC720913 LLY720900:LLY720913 LVU720900:LVU720913 MFQ720900:MFQ720913 MPM720900:MPM720913 MZI720900:MZI720913 NJE720900:NJE720913 NTA720900:NTA720913 OCW720900:OCW720913 OMS720900:OMS720913 OWO720900:OWO720913 PGK720900:PGK720913 PQG720900:PQG720913 QAC720900:QAC720913 QJY720900:QJY720913 QTU720900:QTU720913 RDQ720900:RDQ720913 RNM720900:RNM720913 RXI720900:RXI720913 SHE720900:SHE720913 SRA720900:SRA720913 TAW720900:TAW720913 TKS720900:TKS720913 TUO720900:TUO720913 UEK720900:UEK720913 UOG720900:UOG720913 UYC720900:UYC720913 VHY720900:VHY720913 VRU720900:VRU720913 WBQ720900:WBQ720913 WLM720900:WLM720913 WVI720900:WVI720913 A786436:A786449 IW786436:IW786449 SS786436:SS786449 ACO786436:ACO786449 AMK786436:AMK786449 AWG786436:AWG786449 BGC786436:BGC786449 BPY786436:BPY786449 BZU786436:BZU786449 CJQ786436:CJQ786449 CTM786436:CTM786449 DDI786436:DDI786449 DNE786436:DNE786449 DXA786436:DXA786449 EGW786436:EGW786449 EQS786436:EQS786449 FAO786436:FAO786449 FKK786436:FKK786449 FUG786436:FUG786449 GEC786436:GEC786449 GNY786436:GNY786449 GXU786436:GXU786449 HHQ786436:HHQ786449 HRM786436:HRM786449 IBI786436:IBI786449 ILE786436:ILE786449 IVA786436:IVA786449 JEW786436:JEW786449 JOS786436:JOS786449 JYO786436:JYO786449 KIK786436:KIK786449 KSG786436:KSG786449 LCC786436:LCC786449 LLY786436:LLY786449 LVU786436:LVU786449 MFQ786436:MFQ786449 MPM786436:MPM786449 MZI786436:MZI786449 NJE786436:NJE786449 NTA786436:NTA786449 OCW786436:OCW786449 OMS786436:OMS786449 OWO786436:OWO786449 PGK786436:PGK786449 PQG786436:PQG786449 QAC786436:QAC786449 QJY786436:QJY786449 QTU786436:QTU786449 RDQ786436:RDQ786449 RNM786436:RNM786449 RXI786436:RXI786449 SHE786436:SHE786449 SRA786436:SRA786449 TAW786436:TAW786449 TKS786436:TKS786449 TUO786436:TUO786449 UEK786436:UEK786449 UOG786436:UOG786449 UYC786436:UYC786449 VHY786436:VHY786449 VRU786436:VRU786449 WBQ786436:WBQ786449 WLM786436:WLM786449 WVI786436:WVI786449 A851972:A851985 IW851972:IW851985 SS851972:SS851985 ACO851972:ACO851985 AMK851972:AMK851985 AWG851972:AWG851985 BGC851972:BGC851985 BPY851972:BPY851985 BZU851972:BZU851985 CJQ851972:CJQ851985 CTM851972:CTM851985 DDI851972:DDI851985 DNE851972:DNE851985 DXA851972:DXA851985 EGW851972:EGW851985 EQS851972:EQS851985 FAO851972:FAO851985 FKK851972:FKK851985 FUG851972:FUG851985 GEC851972:GEC851985 GNY851972:GNY851985 GXU851972:GXU851985 HHQ851972:HHQ851985 HRM851972:HRM851985 IBI851972:IBI851985 ILE851972:ILE851985 IVA851972:IVA851985 JEW851972:JEW851985 JOS851972:JOS851985 JYO851972:JYO851985 KIK851972:KIK851985 KSG851972:KSG851985 LCC851972:LCC851985 LLY851972:LLY851985 LVU851972:LVU851985 MFQ851972:MFQ851985 MPM851972:MPM851985 MZI851972:MZI851985 NJE851972:NJE851985 NTA851972:NTA851985 OCW851972:OCW851985 OMS851972:OMS851985 OWO851972:OWO851985 PGK851972:PGK851985 PQG851972:PQG851985 QAC851972:QAC851985 QJY851972:QJY851985 QTU851972:QTU851985 RDQ851972:RDQ851985 RNM851972:RNM851985 RXI851972:RXI851985 SHE851972:SHE851985 SRA851972:SRA851985 TAW851972:TAW851985 TKS851972:TKS851985 TUO851972:TUO851985 UEK851972:UEK851985 UOG851972:UOG851985 UYC851972:UYC851985 VHY851972:VHY851985 VRU851972:VRU851985 WBQ851972:WBQ851985 WLM851972:WLM851985 WVI851972:WVI851985 A917508:A917521 IW917508:IW917521 SS917508:SS917521 ACO917508:ACO917521 AMK917508:AMK917521 AWG917508:AWG917521 BGC917508:BGC917521 BPY917508:BPY917521 BZU917508:BZU917521 CJQ917508:CJQ917521 CTM917508:CTM917521 DDI917508:DDI917521 DNE917508:DNE917521 DXA917508:DXA917521 EGW917508:EGW917521 EQS917508:EQS917521 FAO917508:FAO917521 FKK917508:FKK917521 FUG917508:FUG917521 GEC917508:GEC917521 GNY917508:GNY917521 GXU917508:GXU917521 HHQ917508:HHQ917521 HRM917508:HRM917521 IBI917508:IBI917521 ILE917508:ILE917521 IVA917508:IVA917521 JEW917508:JEW917521 JOS917508:JOS917521 JYO917508:JYO917521 KIK917508:KIK917521 KSG917508:KSG917521 LCC917508:LCC917521 LLY917508:LLY917521 LVU917508:LVU917521 MFQ917508:MFQ917521 MPM917508:MPM917521 MZI917508:MZI917521 NJE917508:NJE917521 NTA917508:NTA917521 OCW917508:OCW917521 OMS917508:OMS917521 OWO917508:OWO917521 PGK917508:PGK917521 PQG917508:PQG917521 QAC917508:QAC917521 QJY917508:QJY917521 QTU917508:QTU917521 RDQ917508:RDQ917521 RNM917508:RNM917521 RXI917508:RXI917521 SHE917508:SHE917521 SRA917508:SRA917521 TAW917508:TAW917521 TKS917508:TKS917521 TUO917508:TUO917521 UEK917508:UEK917521 UOG917508:UOG917521 UYC917508:UYC917521 VHY917508:VHY917521 VRU917508:VRU917521 WBQ917508:WBQ917521 WLM917508:WLM917521 WVI917508:WVI917521 A983044:A983057 IW983044:IW983057 SS983044:SS983057 ACO983044:ACO983057 AMK983044:AMK983057 AWG983044:AWG983057 BGC983044:BGC983057 BPY983044:BPY983057 BZU983044:BZU983057 CJQ983044:CJQ983057 CTM983044:CTM983057 DDI983044:DDI983057 DNE983044:DNE983057 DXA983044:DXA983057 EGW983044:EGW983057 EQS983044:EQS983057 FAO983044:FAO983057 FKK983044:FKK983057 FUG983044:FUG983057 GEC983044:GEC983057 GNY983044:GNY983057 GXU983044:GXU983057 HHQ983044:HHQ983057 HRM983044:HRM983057 IBI983044:IBI983057 ILE983044:ILE983057 IVA983044:IVA983057 JEW983044:JEW983057 JOS983044:JOS983057 JYO983044:JYO983057 KIK983044:KIK983057 KSG983044:KSG983057 LCC983044:LCC983057 LLY983044:LLY983057 LVU983044:LVU983057 MFQ983044:MFQ983057 MPM983044:MPM983057 MZI983044:MZI983057 NJE983044:NJE983057 NTA983044:NTA983057 OCW983044:OCW983057 OMS983044:OMS983057 OWO983044:OWO983057 PGK983044:PGK983057 PQG983044:PQG983057 QAC983044:QAC983057 QJY983044:QJY983057 QTU983044:QTU983057 RDQ983044:RDQ983057 RNM983044:RNM983057 RXI983044:RXI983057 SHE983044:SHE983057 SRA983044:SRA983057 TAW983044:TAW983057 TKS983044:TKS983057 TUO983044:TUO983057 UEK983044:UEK983057 UOG983044:UOG983057 UYC983044:UYC983057 VHY983044:VHY983057 VRU983044:VRU983057 WBQ983044:WBQ983057 WLM983044:WLM983057 WVI983044:WVI983057 A8:A21 WUT8:WUT21 IH8:IH21 SD8:SD21 ABZ8:ABZ21 ALV8:ALV21 AVR8:AVR21 BFN8:BFN21 BPJ8:BPJ21 BZF8:BZF21 CJB8:CJB21 CSX8:CSX21 DCT8:DCT21 DMP8:DMP21 DWL8:DWL21 EGH8:EGH21 EQD8:EQD21 EZZ8:EZZ21 FJV8:FJV21 FTR8:FTR21 GDN8:GDN21 GNJ8:GNJ21 GXF8:GXF21 HHB8:HHB21 HQX8:HQX21 IAT8:IAT21 IKP8:IKP21 IUL8:IUL21 JEH8:JEH21 JOD8:JOD21 JXZ8:JXZ21 KHV8:KHV21 KRR8:KRR21 LBN8:LBN21 LLJ8:LLJ21 LVF8:LVF21 MFB8:MFB21 MOX8:MOX21 MYT8:MYT21 NIP8:NIP21 NSL8:NSL21 OCH8:OCH21 OMD8:OMD21 OVZ8:OVZ21 PFV8:PFV21 PPR8:PPR21 PZN8:PZN21 QJJ8:QJJ21 QTF8:QTF21 RDB8:RDB21 RMX8:RMX21 RWT8:RWT21 SGP8:SGP21 SQL8:SQL21 TAH8:TAH21 TKD8:TKD21 TTZ8:TTZ21 UDV8:UDV21 UNR8:UNR21 UXN8:UXN21 VHJ8:VHJ21 VRF8:VRF21 WBB8:WBB21 WKX8:WKX21">
      <formula1>"项目经理,开发工程师,产品经理,策划工程师,需求分析师,配置管理员,质量保证工程师,UI及美工,3D建模工程师,架构师,测试工程师,其他"</formula1>
    </dataValidation>
    <dataValidation type="list" allowBlank="1" showInputMessage="1" showErrorMessage="1" sqref="F65540:G65553 JB65540:JC65553 SX65540:SY65553 ACT65540:ACU65553 AMP65540:AMQ65553 AWL65540:AWM65553 BGH65540:BGI65553 BQD65540:BQE65553 BZZ65540:CAA65553 CJV65540:CJW65553 CTR65540:CTS65553 DDN65540:DDO65553 DNJ65540:DNK65553 DXF65540:DXG65553 EHB65540:EHC65553 EQX65540:EQY65553 FAT65540:FAU65553 FKP65540:FKQ65553 FUL65540:FUM65553 GEH65540:GEI65553 GOD65540:GOE65553 GXZ65540:GYA65553 HHV65540:HHW65553 HRR65540:HRS65553 IBN65540:IBO65553 ILJ65540:ILK65553 IVF65540:IVG65553 JFB65540:JFC65553 JOX65540:JOY65553 JYT65540:JYU65553 KIP65540:KIQ65553 KSL65540:KSM65553 LCH65540:LCI65553 LMD65540:LME65553 LVZ65540:LWA65553 MFV65540:MFW65553 MPR65540:MPS65553 MZN65540:MZO65553 NJJ65540:NJK65553 NTF65540:NTG65553 ODB65540:ODC65553 OMX65540:OMY65553 OWT65540:OWU65553 PGP65540:PGQ65553 PQL65540:PQM65553 QAH65540:QAI65553 QKD65540:QKE65553 QTZ65540:QUA65553 RDV65540:RDW65553 RNR65540:RNS65553 RXN65540:RXO65553 SHJ65540:SHK65553 SRF65540:SRG65553 TBB65540:TBC65553 TKX65540:TKY65553 TUT65540:TUU65553 UEP65540:UEQ65553 UOL65540:UOM65553 UYH65540:UYI65553 VID65540:VIE65553 VRZ65540:VSA65553 WBV65540:WBW65553 WLR65540:WLS65553 WVN65540:WVO65553 F131076:G131089 JB131076:JC131089 SX131076:SY131089 ACT131076:ACU131089 AMP131076:AMQ131089 AWL131076:AWM131089 BGH131076:BGI131089 BQD131076:BQE131089 BZZ131076:CAA131089 CJV131076:CJW131089 CTR131076:CTS131089 DDN131076:DDO131089 DNJ131076:DNK131089 DXF131076:DXG131089 EHB131076:EHC131089 EQX131076:EQY131089 FAT131076:FAU131089 FKP131076:FKQ131089 FUL131076:FUM131089 GEH131076:GEI131089 GOD131076:GOE131089 GXZ131076:GYA131089 HHV131076:HHW131089 HRR131076:HRS131089 IBN131076:IBO131089 ILJ131076:ILK131089 IVF131076:IVG131089 JFB131076:JFC131089 JOX131076:JOY131089 JYT131076:JYU131089 KIP131076:KIQ131089 KSL131076:KSM131089 LCH131076:LCI131089 LMD131076:LME131089 LVZ131076:LWA131089 MFV131076:MFW131089 MPR131076:MPS131089 MZN131076:MZO131089 NJJ131076:NJK131089 NTF131076:NTG131089 ODB131076:ODC131089 OMX131076:OMY131089 OWT131076:OWU131089 PGP131076:PGQ131089 PQL131076:PQM131089 QAH131076:QAI131089 QKD131076:QKE131089 QTZ131076:QUA131089 RDV131076:RDW131089 RNR131076:RNS131089 RXN131076:RXO131089 SHJ131076:SHK131089 SRF131076:SRG131089 TBB131076:TBC131089 TKX131076:TKY131089 TUT131076:TUU131089 UEP131076:UEQ131089 UOL131076:UOM131089 UYH131076:UYI131089 VID131076:VIE131089 VRZ131076:VSA131089 WBV131076:WBW131089 WLR131076:WLS131089 WVN131076:WVO131089 F196612:G196625 JB196612:JC196625 SX196612:SY196625 ACT196612:ACU196625 AMP196612:AMQ196625 AWL196612:AWM196625 BGH196612:BGI196625 BQD196612:BQE196625 BZZ196612:CAA196625 CJV196612:CJW196625 CTR196612:CTS196625 DDN196612:DDO196625 DNJ196612:DNK196625 DXF196612:DXG196625 EHB196612:EHC196625 EQX196612:EQY196625 FAT196612:FAU196625 FKP196612:FKQ196625 FUL196612:FUM196625 GEH196612:GEI196625 GOD196612:GOE196625 GXZ196612:GYA196625 HHV196612:HHW196625 HRR196612:HRS196625 IBN196612:IBO196625 ILJ196612:ILK196625 IVF196612:IVG196625 JFB196612:JFC196625 JOX196612:JOY196625 JYT196612:JYU196625 KIP196612:KIQ196625 KSL196612:KSM196625 LCH196612:LCI196625 LMD196612:LME196625 LVZ196612:LWA196625 MFV196612:MFW196625 MPR196612:MPS196625 MZN196612:MZO196625 NJJ196612:NJK196625 NTF196612:NTG196625 ODB196612:ODC196625 OMX196612:OMY196625 OWT196612:OWU196625 PGP196612:PGQ196625 PQL196612:PQM196625 QAH196612:QAI196625 QKD196612:QKE196625 QTZ196612:QUA196625 RDV196612:RDW196625 RNR196612:RNS196625 RXN196612:RXO196625 SHJ196612:SHK196625 SRF196612:SRG196625 TBB196612:TBC196625 TKX196612:TKY196625 TUT196612:TUU196625 UEP196612:UEQ196625 UOL196612:UOM196625 UYH196612:UYI196625 VID196612:VIE196625 VRZ196612:VSA196625 WBV196612:WBW196625 WLR196612:WLS196625 WVN196612:WVO196625 F262148:G262161 JB262148:JC262161 SX262148:SY262161 ACT262148:ACU262161 AMP262148:AMQ262161 AWL262148:AWM262161 BGH262148:BGI262161 BQD262148:BQE262161 BZZ262148:CAA262161 CJV262148:CJW262161 CTR262148:CTS262161 DDN262148:DDO262161 DNJ262148:DNK262161 DXF262148:DXG262161 EHB262148:EHC262161 EQX262148:EQY262161 FAT262148:FAU262161 FKP262148:FKQ262161 FUL262148:FUM262161 GEH262148:GEI262161 GOD262148:GOE262161 GXZ262148:GYA262161 HHV262148:HHW262161 HRR262148:HRS262161 IBN262148:IBO262161 ILJ262148:ILK262161 IVF262148:IVG262161 JFB262148:JFC262161 JOX262148:JOY262161 JYT262148:JYU262161 KIP262148:KIQ262161 KSL262148:KSM262161 LCH262148:LCI262161 LMD262148:LME262161 LVZ262148:LWA262161 MFV262148:MFW262161 MPR262148:MPS262161 MZN262148:MZO262161 NJJ262148:NJK262161 NTF262148:NTG262161 ODB262148:ODC262161 OMX262148:OMY262161 OWT262148:OWU262161 PGP262148:PGQ262161 PQL262148:PQM262161 QAH262148:QAI262161 QKD262148:QKE262161 QTZ262148:QUA262161 RDV262148:RDW262161 RNR262148:RNS262161 RXN262148:RXO262161 SHJ262148:SHK262161 SRF262148:SRG262161 TBB262148:TBC262161 TKX262148:TKY262161 TUT262148:TUU262161 UEP262148:UEQ262161 UOL262148:UOM262161 UYH262148:UYI262161 VID262148:VIE262161 VRZ262148:VSA262161 WBV262148:WBW262161 WLR262148:WLS262161 WVN262148:WVO262161 F327684:G327697 JB327684:JC327697 SX327684:SY327697 ACT327684:ACU327697 AMP327684:AMQ327697 AWL327684:AWM327697 BGH327684:BGI327697 BQD327684:BQE327697 BZZ327684:CAA327697 CJV327684:CJW327697 CTR327684:CTS327697 DDN327684:DDO327697 DNJ327684:DNK327697 DXF327684:DXG327697 EHB327684:EHC327697 EQX327684:EQY327697 FAT327684:FAU327697 FKP327684:FKQ327697 FUL327684:FUM327697 GEH327684:GEI327697 GOD327684:GOE327697 GXZ327684:GYA327697 HHV327684:HHW327697 HRR327684:HRS327697 IBN327684:IBO327697 ILJ327684:ILK327697 IVF327684:IVG327697 JFB327684:JFC327697 JOX327684:JOY327697 JYT327684:JYU327697 KIP327684:KIQ327697 KSL327684:KSM327697 LCH327684:LCI327697 LMD327684:LME327697 LVZ327684:LWA327697 MFV327684:MFW327697 MPR327684:MPS327697 MZN327684:MZO327697 NJJ327684:NJK327697 NTF327684:NTG327697 ODB327684:ODC327697 OMX327684:OMY327697 OWT327684:OWU327697 PGP327684:PGQ327697 PQL327684:PQM327697 QAH327684:QAI327697 QKD327684:QKE327697 QTZ327684:QUA327697 RDV327684:RDW327697 RNR327684:RNS327697 RXN327684:RXO327697 SHJ327684:SHK327697 SRF327684:SRG327697 TBB327684:TBC327697 TKX327684:TKY327697 TUT327684:TUU327697 UEP327684:UEQ327697 UOL327684:UOM327697 UYH327684:UYI327697 VID327684:VIE327697 VRZ327684:VSA327697 WBV327684:WBW327697 WLR327684:WLS327697 WVN327684:WVO327697 F393220:G393233 JB393220:JC393233 SX393220:SY393233 ACT393220:ACU393233 AMP393220:AMQ393233 AWL393220:AWM393233 BGH393220:BGI393233 BQD393220:BQE393233 BZZ393220:CAA393233 CJV393220:CJW393233 CTR393220:CTS393233 DDN393220:DDO393233 DNJ393220:DNK393233 DXF393220:DXG393233 EHB393220:EHC393233 EQX393220:EQY393233 FAT393220:FAU393233 FKP393220:FKQ393233 FUL393220:FUM393233 GEH393220:GEI393233 GOD393220:GOE393233 GXZ393220:GYA393233 HHV393220:HHW393233 HRR393220:HRS393233 IBN393220:IBO393233 ILJ393220:ILK393233 IVF393220:IVG393233 JFB393220:JFC393233 JOX393220:JOY393233 JYT393220:JYU393233 KIP393220:KIQ393233 KSL393220:KSM393233 LCH393220:LCI393233 LMD393220:LME393233 LVZ393220:LWA393233 MFV393220:MFW393233 MPR393220:MPS393233 MZN393220:MZO393233 NJJ393220:NJK393233 NTF393220:NTG393233 ODB393220:ODC393233 OMX393220:OMY393233 OWT393220:OWU393233 PGP393220:PGQ393233 PQL393220:PQM393233 QAH393220:QAI393233 QKD393220:QKE393233 QTZ393220:QUA393233 RDV393220:RDW393233 RNR393220:RNS393233 RXN393220:RXO393233 SHJ393220:SHK393233 SRF393220:SRG393233 TBB393220:TBC393233 TKX393220:TKY393233 TUT393220:TUU393233 UEP393220:UEQ393233 UOL393220:UOM393233 UYH393220:UYI393233 VID393220:VIE393233 VRZ393220:VSA393233 WBV393220:WBW393233 WLR393220:WLS393233 WVN393220:WVO393233 F458756:G458769 JB458756:JC458769 SX458756:SY458769 ACT458756:ACU458769 AMP458756:AMQ458769 AWL458756:AWM458769 BGH458756:BGI458769 BQD458756:BQE458769 BZZ458756:CAA458769 CJV458756:CJW458769 CTR458756:CTS458769 DDN458756:DDO458769 DNJ458756:DNK458769 DXF458756:DXG458769 EHB458756:EHC458769 EQX458756:EQY458769 FAT458756:FAU458769 FKP458756:FKQ458769 FUL458756:FUM458769 GEH458756:GEI458769 GOD458756:GOE458769 GXZ458756:GYA458769 HHV458756:HHW458769 HRR458756:HRS458769 IBN458756:IBO458769 ILJ458756:ILK458769 IVF458756:IVG458769 JFB458756:JFC458769 JOX458756:JOY458769 JYT458756:JYU458769 KIP458756:KIQ458769 KSL458756:KSM458769 LCH458756:LCI458769 LMD458756:LME458769 LVZ458756:LWA458769 MFV458756:MFW458769 MPR458756:MPS458769 MZN458756:MZO458769 NJJ458756:NJK458769 NTF458756:NTG458769 ODB458756:ODC458769 OMX458756:OMY458769 OWT458756:OWU458769 PGP458756:PGQ458769 PQL458756:PQM458769 QAH458756:QAI458769 QKD458756:QKE458769 QTZ458756:QUA458769 RDV458756:RDW458769 RNR458756:RNS458769 RXN458756:RXO458769 SHJ458756:SHK458769 SRF458756:SRG458769 TBB458756:TBC458769 TKX458756:TKY458769 TUT458756:TUU458769 UEP458756:UEQ458769 UOL458756:UOM458769 UYH458756:UYI458769 VID458756:VIE458769 VRZ458756:VSA458769 WBV458756:WBW458769 WLR458756:WLS458769 WVN458756:WVO458769 F524292:G524305 JB524292:JC524305 SX524292:SY524305 ACT524292:ACU524305 AMP524292:AMQ524305 AWL524292:AWM524305 BGH524292:BGI524305 BQD524292:BQE524305 BZZ524292:CAA524305 CJV524292:CJW524305 CTR524292:CTS524305 DDN524292:DDO524305 DNJ524292:DNK524305 DXF524292:DXG524305 EHB524292:EHC524305 EQX524292:EQY524305 FAT524292:FAU524305 FKP524292:FKQ524305 FUL524292:FUM524305 GEH524292:GEI524305 GOD524292:GOE524305 GXZ524292:GYA524305 HHV524292:HHW524305 HRR524292:HRS524305 IBN524292:IBO524305 ILJ524292:ILK524305 IVF524292:IVG524305 JFB524292:JFC524305 JOX524292:JOY524305 JYT524292:JYU524305 KIP524292:KIQ524305 KSL524292:KSM524305 LCH524292:LCI524305 LMD524292:LME524305 LVZ524292:LWA524305 MFV524292:MFW524305 MPR524292:MPS524305 MZN524292:MZO524305 NJJ524292:NJK524305 NTF524292:NTG524305 ODB524292:ODC524305 OMX524292:OMY524305 OWT524292:OWU524305 PGP524292:PGQ524305 PQL524292:PQM524305 QAH524292:QAI524305 QKD524292:QKE524305 QTZ524292:QUA524305 RDV524292:RDW524305 RNR524292:RNS524305 RXN524292:RXO524305 SHJ524292:SHK524305 SRF524292:SRG524305 TBB524292:TBC524305 TKX524292:TKY524305 TUT524292:TUU524305 UEP524292:UEQ524305 UOL524292:UOM524305 UYH524292:UYI524305 VID524292:VIE524305 VRZ524292:VSA524305 WBV524292:WBW524305 WLR524292:WLS524305 WVN524292:WVO524305 F589828:G589841 JB589828:JC589841 SX589828:SY589841 ACT589828:ACU589841 AMP589828:AMQ589841 AWL589828:AWM589841 BGH589828:BGI589841 BQD589828:BQE589841 BZZ589828:CAA589841 CJV589828:CJW589841 CTR589828:CTS589841 DDN589828:DDO589841 DNJ589828:DNK589841 DXF589828:DXG589841 EHB589828:EHC589841 EQX589828:EQY589841 FAT589828:FAU589841 FKP589828:FKQ589841 FUL589828:FUM589841 GEH589828:GEI589841 GOD589828:GOE589841 GXZ589828:GYA589841 HHV589828:HHW589841 HRR589828:HRS589841 IBN589828:IBO589841 ILJ589828:ILK589841 IVF589828:IVG589841 JFB589828:JFC589841 JOX589828:JOY589841 JYT589828:JYU589841 KIP589828:KIQ589841 KSL589828:KSM589841 LCH589828:LCI589841 LMD589828:LME589841 LVZ589828:LWA589841 MFV589828:MFW589841 MPR589828:MPS589841 MZN589828:MZO589841 NJJ589828:NJK589841 NTF589828:NTG589841 ODB589828:ODC589841 OMX589828:OMY589841 OWT589828:OWU589841 PGP589828:PGQ589841 PQL589828:PQM589841 QAH589828:QAI589841 QKD589828:QKE589841 QTZ589828:QUA589841 RDV589828:RDW589841 RNR589828:RNS589841 RXN589828:RXO589841 SHJ589828:SHK589841 SRF589828:SRG589841 TBB589828:TBC589841 TKX589828:TKY589841 TUT589828:TUU589841 UEP589828:UEQ589841 UOL589828:UOM589841 UYH589828:UYI589841 VID589828:VIE589841 VRZ589828:VSA589841 WBV589828:WBW589841 WLR589828:WLS589841 WVN589828:WVO589841 F655364:G655377 JB655364:JC655377 SX655364:SY655377 ACT655364:ACU655377 AMP655364:AMQ655377 AWL655364:AWM655377 BGH655364:BGI655377 BQD655364:BQE655377 BZZ655364:CAA655377 CJV655364:CJW655377 CTR655364:CTS655377 DDN655364:DDO655377 DNJ655364:DNK655377 DXF655364:DXG655377 EHB655364:EHC655377 EQX655364:EQY655377 FAT655364:FAU655377 FKP655364:FKQ655377 FUL655364:FUM655377 GEH655364:GEI655377 GOD655364:GOE655377 GXZ655364:GYA655377 HHV655364:HHW655377 HRR655364:HRS655377 IBN655364:IBO655377 ILJ655364:ILK655377 IVF655364:IVG655377 JFB655364:JFC655377 JOX655364:JOY655377 JYT655364:JYU655377 KIP655364:KIQ655377 KSL655364:KSM655377 LCH655364:LCI655377 LMD655364:LME655377 LVZ655364:LWA655377 MFV655364:MFW655377 MPR655364:MPS655377 MZN655364:MZO655377 NJJ655364:NJK655377 NTF655364:NTG655377 ODB655364:ODC655377 OMX655364:OMY655377 OWT655364:OWU655377 PGP655364:PGQ655377 PQL655364:PQM655377 QAH655364:QAI655377 QKD655364:QKE655377 QTZ655364:QUA655377 RDV655364:RDW655377 RNR655364:RNS655377 RXN655364:RXO655377 SHJ655364:SHK655377 SRF655364:SRG655377 TBB655364:TBC655377 TKX655364:TKY655377 TUT655364:TUU655377 UEP655364:UEQ655377 UOL655364:UOM655377 UYH655364:UYI655377 VID655364:VIE655377 VRZ655364:VSA655377 WBV655364:WBW655377 WLR655364:WLS655377 WVN655364:WVO655377 F720900:G720913 JB720900:JC720913 SX720900:SY720913 ACT720900:ACU720913 AMP720900:AMQ720913 AWL720900:AWM720913 BGH720900:BGI720913 BQD720900:BQE720913 BZZ720900:CAA720913 CJV720900:CJW720913 CTR720900:CTS720913 DDN720900:DDO720913 DNJ720900:DNK720913 DXF720900:DXG720913 EHB720900:EHC720913 EQX720900:EQY720913 FAT720900:FAU720913 FKP720900:FKQ720913 FUL720900:FUM720913 GEH720900:GEI720913 GOD720900:GOE720913 GXZ720900:GYA720913 HHV720900:HHW720913 HRR720900:HRS720913 IBN720900:IBO720913 ILJ720900:ILK720913 IVF720900:IVG720913 JFB720900:JFC720913 JOX720900:JOY720913 JYT720900:JYU720913 KIP720900:KIQ720913 KSL720900:KSM720913 LCH720900:LCI720913 LMD720900:LME720913 LVZ720900:LWA720913 MFV720900:MFW720913 MPR720900:MPS720913 MZN720900:MZO720913 NJJ720900:NJK720913 NTF720900:NTG720913 ODB720900:ODC720913 OMX720900:OMY720913 OWT720900:OWU720913 PGP720900:PGQ720913 PQL720900:PQM720913 QAH720900:QAI720913 QKD720900:QKE720913 QTZ720900:QUA720913 RDV720900:RDW720913 RNR720900:RNS720913 RXN720900:RXO720913 SHJ720900:SHK720913 SRF720900:SRG720913 TBB720900:TBC720913 TKX720900:TKY720913 TUT720900:TUU720913 UEP720900:UEQ720913 UOL720900:UOM720913 UYH720900:UYI720913 VID720900:VIE720913 VRZ720900:VSA720913 WBV720900:WBW720913 WLR720900:WLS720913 WVN720900:WVO720913 F786436:G786449 JB786436:JC786449 SX786436:SY786449 ACT786436:ACU786449 AMP786436:AMQ786449 AWL786436:AWM786449 BGH786436:BGI786449 BQD786436:BQE786449 BZZ786436:CAA786449 CJV786436:CJW786449 CTR786436:CTS786449 DDN786436:DDO786449 DNJ786436:DNK786449 DXF786436:DXG786449 EHB786436:EHC786449 EQX786436:EQY786449 FAT786436:FAU786449 FKP786436:FKQ786449 FUL786436:FUM786449 GEH786436:GEI786449 GOD786436:GOE786449 GXZ786436:GYA786449 HHV786436:HHW786449 HRR786436:HRS786449 IBN786436:IBO786449 ILJ786436:ILK786449 IVF786436:IVG786449 JFB786436:JFC786449 JOX786436:JOY786449 JYT786436:JYU786449 KIP786436:KIQ786449 KSL786436:KSM786449 LCH786436:LCI786449 LMD786436:LME786449 LVZ786436:LWA786449 MFV786436:MFW786449 MPR786436:MPS786449 MZN786436:MZO786449 NJJ786436:NJK786449 NTF786436:NTG786449 ODB786436:ODC786449 OMX786436:OMY786449 OWT786436:OWU786449 PGP786436:PGQ786449 PQL786436:PQM786449 QAH786436:QAI786449 QKD786436:QKE786449 QTZ786436:QUA786449 RDV786436:RDW786449 RNR786436:RNS786449 RXN786436:RXO786449 SHJ786436:SHK786449 SRF786436:SRG786449 TBB786436:TBC786449 TKX786436:TKY786449 TUT786436:TUU786449 UEP786436:UEQ786449 UOL786436:UOM786449 UYH786436:UYI786449 VID786436:VIE786449 VRZ786436:VSA786449 WBV786436:WBW786449 WLR786436:WLS786449 WVN786436:WVO786449 F851972:G851985 JB851972:JC851985 SX851972:SY851985 ACT851972:ACU851985 AMP851972:AMQ851985 AWL851972:AWM851985 BGH851972:BGI851985 BQD851972:BQE851985 BZZ851972:CAA851985 CJV851972:CJW851985 CTR851972:CTS851985 DDN851972:DDO851985 DNJ851972:DNK851985 DXF851972:DXG851985 EHB851972:EHC851985 EQX851972:EQY851985 FAT851972:FAU851985 FKP851972:FKQ851985 FUL851972:FUM851985 GEH851972:GEI851985 GOD851972:GOE851985 GXZ851972:GYA851985 HHV851972:HHW851985 HRR851972:HRS851985 IBN851972:IBO851985 ILJ851972:ILK851985 IVF851972:IVG851985 JFB851972:JFC851985 JOX851972:JOY851985 JYT851972:JYU851985 KIP851972:KIQ851985 KSL851972:KSM851985 LCH851972:LCI851985 LMD851972:LME851985 LVZ851972:LWA851985 MFV851972:MFW851985 MPR851972:MPS851985 MZN851972:MZO851985 NJJ851972:NJK851985 NTF851972:NTG851985 ODB851972:ODC851985 OMX851972:OMY851985 OWT851972:OWU851985 PGP851972:PGQ851985 PQL851972:PQM851985 QAH851972:QAI851985 QKD851972:QKE851985 QTZ851972:QUA851985 RDV851972:RDW851985 RNR851972:RNS851985 RXN851972:RXO851985 SHJ851972:SHK851985 SRF851972:SRG851985 TBB851972:TBC851985 TKX851972:TKY851985 TUT851972:TUU851985 UEP851972:UEQ851985 UOL851972:UOM851985 UYH851972:UYI851985 VID851972:VIE851985 VRZ851972:VSA851985 WBV851972:WBW851985 WLR851972:WLS851985 WVN851972:WVO851985 F917508:G917521 JB917508:JC917521 SX917508:SY917521 ACT917508:ACU917521 AMP917508:AMQ917521 AWL917508:AWM917521 BGH917508:BGI917521 BQD917508:BQE917521 BZZ917508:CAA917521 CJV917508:CJW917521 CTR917508:CTS917521 DDN917508:DDO917521 DNJ917508:DNK917521 DXF917508:DXG917521 EHB917508:EHC917521 EQX917508:EQY917521 FAT917508:FAU917521 FKP917508:FKQ917521 FUL917508:FUM917521 GEH917508:GEI917521 GOD917508:GOE917521 GXZ917508:GYA917521 HHV917508:HHW917521 HRR917508:HRS917521 IBN917508:IBO917521 ILJ917508:ILK917521 IVF917508:IVG917521 JFB917508:JFC917521 JOX917508:JOY917521 JYT917508:JYU917521 KIP917508:KIQ917521 KSL917508:KSM917521 LCH917508:LCI917521 LMD917508:LME917521 LVZ917508:LWA917521 MFV917508:MFW917521 MPR917508:MPS917521 MZN917508:MZO917521 NJJ917508:NJK917521 NTF917508:NTG917521 ODB917508:ODC917521 OMX917508:OMY917521 OWT917508:OWU917521 PGP917508:PGQ917521 PQL917508:PQM917521 QAH917508:QAI917521 QKD917508:QKE917521 QTZ917508:QUA917521 RDV917508:RDW917521 RNR917508:RNS917521 RXN917508:RXO917521 SHJ917508:SHK917521 SRF917508:SRG917521 TBB917508:TBC917521 TKX917508:TKY917521 TUT917508:TUU917521 UEP917508:UEQ917521 UOL917508:UOM917521 UYH917508:UYI917521 VID917508:VIE917521 VRZ917508:VSA917521 WBV917508:WBW917521 WLR917508:WLS917521 WVN917508:WVO917521 F983044:G983057 JB983044:JC983057 SX983044:SY983057 ACT983044:ACU983057 AMP983044:AMQ983057 AWL983044:AWM983057 BGH983044:BGI983057 BQD983044:BQE983057 BZZ983044:CAA983057 CJV983044:CJW983057 CTR983044:CTS983057 DDN983044:DDO983057 DNJ983044:DNK983057 DXF983044:DXG983057 EHB983044:EHC983057 EQX983044:EQY983057 FAT983044:FAU983057 FKP983044:FKQ983057 FUL983044:FUM983057 GEH983044:GEI983057 GOD983044:GOE983057 GXZ983044:GYA983057 HHV983044:HHW983057 HRR983044:HRS983057 IBN983044:IBO983057 ILJ983044:ILK983057 IVF983044:IVG983057 JFB983044:JFC983057 JOX983044:JOY983057 JYT983044:JYU983057 KIP983044:KIQ983057 KSL983044:KSM983057 LCH983044:LCI983057 LMD983044:LME983057 LVZ983044:LWA983057 MFV983044:MFW983057 MPR983044:MPS983057 MZN983044:MZO983057 NJJ983044:NJK983057 NTF983044:NTG983057 ODB983044:ODC983057 OMX983044:OMY983057 OWT983044:OWU983057 PGP983044:PGQ983057 PQL983044:PQM983057 QAH983044:QAI983057 QKD983044:QKE983057 QTZ983044:QUA983057 RDV983044:RDW983057 RNR983044:RNS983057 RXN983044:RXO983057 SHJ983044:SHK983057 SRF983044:SRG983057 TBB983044:TBC983057 TKX983044:TKY983057 TUT983044:TUU983057 UEP983044:UEQ983057 UOL983044:UOM983057 UYH983044:UYI983057 VID983044:VIE983057 VRZ983044:VSA983057 WBV983044:WBW983057 WLR983044:WLS983057 WVN983044:WVO983057 IM8:IN21 SI8:SJ21 ACE8:ACF21 AMA8:AMB21 AVW8:AVX21 BFS8:BFT21 BPO8:BPP21 BZK8:BZL21 CJG8:CJH21 CTC8:CTD21 DCY8:DCZ21 DMU8:DMV21 DWQ8:DWR21 EGM8:EGN21 EQI8:EQJ21 FAE8:FAF21 FKA8:FKB21 FTW8:FTX21 GDS8:GDT21 GNO8:GNP21 GXK8:GXL21 HHG8:HHH21 HRC8:HRD21 IAY8:IAZ21 IKU8:IKV21 IUQ8:IUR21 JEM8:JEN21 JOI8:JOJ21 JYE8:JYF21 KIA8:KIB21 KRW8:KRX21 LBS8:LBT21 LLO8:LLP21 LVK8:LVL21 MFG8:MFH21 MPC8:MPD21 MYY8:MYZ21 NIU8:NIV21 NSQ8:NSR21 OCM8:OCN21 OMI8:OMJ21 OWE8:OWF21 PGA8:PGB21 PPW8:PPX21 PZS8:PZT21 QJO8:QJP21 QTK8:QTL21 RDG8:RDH21 RNC8:RND21 RWY8:RWZ21 SGU8:SGV21 SQQ8:SQR21 TAM8:TAN21 TKI8:TKJ21 TUE8:TUF21 UEA8:UEB21 UNW8:UNX21 UXS8:UXT21 VHO8:VHP21 VRK8:VRL21 WBG8:WBH21 WLC8:WLD21 WUY8:WUZ21 F8:G21">
      <formula1>"0,1,N/A"</formula1>
    </dataValidation>
    <dataValidation allowBlank="1" showInputMessage="1" showErrorMessage="1" prompt="估算规模是“开发工作量估算”sheet中列出的需求项总数。" sqref="JE3:JE4 TA3:TA4 ACW3:ACW4 AMS3:AMS4 AWO3:AWO4 BGK3:BGK4 BQG3:BQG4 CAC3:CAC4 CJY3:CJY4 CTU3:CTU4 DDQ3:DDQ4 DNM3:DNM4 DXI3:DXI4 EHE3:EHE4 ERA3:ERA4 FAW3:FAW4 FKS3:FKS4 FUO3:FUO4 GEK3:GEK4 GOG3:GOG4 GYC3:GYC4 HHY3:HHY4 HRU3:HRU4 IBQ3:IBQ4 ILM3:ILM4 IVI3:IVI4 JFE3:JFE4 JPA3:JPA4 JYW3:JYW4 KIS3:KIS4 KSO3:KSO4 LCK3:LCK4 LMG3:LMG4 LWC3:LWC4 MFY3:MFY4 MPU3:MPU4 MZQ3:MZQ4 NJM3:NJM4 NTI3:NTI4 ODE3:ODE4 ONA3:ONA4 OWW3:OWW4 PGS3:PGS4 PQO3:PQO4 QAK3:QAK4 QKG3:QKG4 QUC3:QUC4 RDY3:RDY4 RNU3:RNU4 RXQ3:RXQ4 SHM3:SHM4 SRI3:SRI4 TBE3:TBE4 TLA3:TLA4 TUW3:TUW4 UES3:UES4 UOO3:UOO4 UYK3:UYK4 VIG3:VIG4 VSC3:VSC4 WBY3:WBY4 WLU3:WLU4 WVQ3:WVQ4 WVS983039:WVS983040 K65535:K65536 JG65535:JG65536 TC65535:TC65536 ACY65535:ACY65536 AMU65535:AMU65536 AWQ65535:AWQ65536 BGM65535:BGM65536 BQI65535:BQI65536 CAE65535:CAE65536 CKA65535:CKA65536 CTW65535:CTW65536 DDS65535:DDS65536 DNO65535:DNO65536 DXK65535:DXK65536 EHG65535:EHG65536 ERC65535:ERC65536 FAY65535:FAY65536 FKU65535:FKU65536 FUQ65535:FUQ65536 GEM65535:GEM65536 GOI65535:GOI65536 GYE65535:GYE65536 HIA65535:HIA65536 HRW65535:HRW65536 IBS65535:IBS65536 ILO65535:ILO65536 IVK65535:IVK65536 JFG65535:JFG65536 JPC65535:JPC65536 JYY65535:JYY65536 KIU65535:KIU65536 KSQ65535:KSQ65536 LCM65535:LCM65536 LMI65535:LMI65536 LWE65535:LWE65536 MGA65535:MGA65536 MPW65535:MPW65536 MZS65535:MZS65536 NJO65535:NJO65536 NTK65535:NTK65536 ODG65535:ODG65536 ONC65535:ONC65536 OWY65535:OWY65536 PGU65535:PGU65536 PQQ65535:PQQ65536 QAM65535:QAM65536 QKI65535:QKI65536 QUE65535:QUE65536 REA65535:REA65536 RNW65535:RNW65536 RXS65535:RXS65536 SHO65535:SHO65536 SRK65535:SRK65536 TBG65535:TBG65536 TLC65535:TLC65536 TUY65535:TUY65536 UEU65535:UEU65536 UOQ65535:UOQ65536 UYM65535:UYM65536 VII65535:VII65536 VSE65535:VSE65536 WCA65535:WCA65536 WLW65535:WLW65536 WVS65535:WVS65536 K131071:K131072 JG131071:JG131072 TC131071:TC131072 ACY131071:ACY131072 AMU131071:AMU131072 AWQ131071:AWQ131072 BGM131071:BGM131072 BQI131071:BQI131072 CAE131071:CAE131072 CKA131071:CKA131072 CTW131071:CTW131072 DDS131071:DDS131072 DNO131071:DNO131072 DXK131071:DXK131072 EHG131071:EHG131072 ERC131071:ERC131072 FAY131071:FAY131072 FKU131071:FKU131072 FUQ131071:FUQ131072 GEM131071:GEM131072 GOI131071:GOI131072 GYE131071:GYE131072 HIA131071:HIA131072 HRW131071:HRW131072 IBS131071:IBS131072 ILO131071:ILO131072 IVK131071:IVK131072 JFG131071:JFG131072 JPC131071:JPC131072 JYY131071:JYY131072 KIU131071:KIU131072 KSQ131071:KSQ131072 LCM131071:LCM131072 LMI131071:LMI131072 LWE131071:LWE131072 MGA131071:MGA131072 MPW131071:MPW131072 MZS131071:MZS131072 NJO131071:NJO131072 NTK131071:NTK131072 ODG131071:ODG131072 ONC131071:ONC131072 OWY131071:OWY131072 PGU131071:PGU131072 PQQ131071:PQQ131072 QAM131071:QAM131072 QKI131071:QKI131072 QUE131071:QUE131072 REA131071:REA131072 RNW131071:RNW131072 RXS131071:RXS131072 SHO131071:SHO131072 SRK131071:SRK131072 TBG131071:TBG131072 TLC131071:TLC131072 TUY131071:TUY131072 UEU131071:UEU131072 UOQ131071:UOQ131072 UYM131071:UYM131072 VII131071:VII131072 VSE131071:VSE131072 WCA131071:WCA131072 WLW131071:WLW131072 WVS131071:WVS131072 K196607:K196608 JG196607:JG196608 TC196607:TC196608 ACY196607:ACY196608 AMU196607:AMU196608 AWQ196607:AWQ196608 BGM196607:BGM196608 BQI196607:BQI196608 CAE196607:CAE196608 CKA196607:CKA196608 CTW196607:CTW196608 DDS196607:DDS196608 DNO196607:DNO196608 DXK196607:DXK196608 EHG196607:EHG196608 ERC196607:ERC196608 FAY196607:FAY196608 FKU196607:FKU196608 FUQ196607:FUQ196608 GEM196607:GEM196608 GOI196607:GOI196608 GYE196607:GYE196608 HIA196607:HIA196608 HRW196607:HRW196608 IBS196607:IBS196608 ILO196607:ILO196608 IVK196607:IVK196608 JFG196607:JFG196608 JPC196607:JPC196608 JYY196607:JYY196608 KIU196607:KIU196608 KSQ196607:KSQ196608 LCM196607:LCM196608 LMI196607:LMI196608 LWE196607:LWE196608 MGA196607:MGA196608 MPW196607:MPW196608 MZS196607:MZS196608 NJO196607:NJO196608 NTK196607:NTK196608 ODG196607:ODG196608 ONC196607:ONC196608 OWY196607:OWY196608 PGU196607:PGU196608 PQQ196607:PQQ196608 QAM196607:QAM196608 QKI196607:QKI196608 QUE196607:QUE196608 REA196607:REA196608 RNW196607:RNW196608 RXS196607:RXS196608 SHO196607:SHO196608 SRK196607:SRK196608 TBG196607:TBG196608 TLC196607:TLC196608 TUY196607:TUY196608 UEU196607:UEU196608 UOQ196607:UOQ196608 UYM196607:UYM196608 VII196607:VII196608 VSE196607:VSE196608 WCA196607:WCA196608 WLW196607:WLW196608 WVS196607:WVS196608 K262143:K262144 JG262143:JG262144 TC262143:TC262144 ACY262143:ACY262144 AMU262143:AMU262144 AWQ262143:AWQ262144 BGM262143:BGM262144 BQI262143:BQI262144 CAE262143:CAE262144 CKA262143:CKA262144 CTW262143:CTW262144 DDS262143:DDS262144 DNO262143:DNO262144 DXK262143:DXK262144 EHG262143:EHG262144 ERC262143:ERC262144 FAY262143:FAY262144 FKU262143:FKU262144 FUQ262143:FUQ262144 GEM262143:GEM262144 GOI262143:GOI262144 GYE262143:GYE262144 HIA262143:HIA262144 HRW262143:HRW262144 IBS262143:IBS262144 ILO262143:ILO262144 IVK262143:IVK262144 JFG262143:JFG262144 JPC262143:JPC262144 JYY262143:JYY262144 KIU262143:KIU262144 KSQ262143:KSQ262144 LCM262143:LCM262144 LMI262143:LMI262144 LWE262143:LWE262144 MGA262143:MGA262144 MPW262143:MPW262144 MZS262143:MZS262144 NJO262143:NJO262144 NTK262143:NTK262144 ODG262143:ODG262144 ONC262143:ONC262144 OWY262143:OWY262144 PGU262143:PGU262144 PQQ262143:PQQ262144 QAM262143:QAM262144 QKI262143:QKI262144 QUE262143:QUE262144 REA262143:REA262144 RNW262143:RNW262144 RXS262143:RXS262144 SHO262143:SHO262144 SRK262143:SRK262144 TBG262143:TBG262144 TLC262143:TLC262144 TUY262143:TUY262144 UEU262143:UEU262144 UOQ262143:UOQ262144 UYM262143:UYM262144 VII262143:VII262144 VSE262143:VSE262144 WCA262143:WCA262144 WLW262143:WLW262144 WVS262143:WVS262144 K327679:K327680 JG327679:JG327680 TC327679:TC327680 ACY327679:ACY327680 AMU327679:AMU327680 AWQ327679:AWQ327680 BGM327679:BGM327680 BQI327679:BQI327680 CAE327679:CAE327680 CKA327679:CKA327680 CTW327679:CTW327680 DDS327679:DDS327680 DNO327679:DNO327680 DXK327679:DXK327680 EHG327679:EHG327680 ERC327679:ERC327680 FAY327679:FAY327680 FKU327679:FKU327680 FUQ327679:FUQ327680 GEM327679:GEM327680 GOI327679:GOI327680 GYE327679:GYE327680 HIA327679:HIA327680 HRW327679:HRW327680 IBS327679:IBS327680 ILO327679:ILO327680 IVK327679:IVK327680 JFG327679:JFG327680 JPC327679:JPC327680 JYY327679:JYY327680 KIU327679:KIU327680 KSQ327679:KSQ327680 LCM327679:LCM327680 LMI327679:LMI327680 LWE327679:LWE327680 MGA327679:MGA327680 MPW327679:MPW327680 MZS327679:MZS327680 NJO327679:NJO327680 NTK327679:NTK327680 ODG327679:ODG327680 ONC327679:ONC327680 OWY327679:OWY327680 PGU327679:PGU327680 PQQ327679:PQQ327680 QAM327679:QAM327680 QKI327679:QKI327680 QUE327679:QUE327680 REA327679:REA327680 RNW327679:RNW327680 RXS327679:RXS327680 SHO327679:SHO327680 SRK327679:SRK327680 TBG327679:TBG327680 TLC327679:TLC327680 TUY327679:TUY327680 UEU327679:UEU327680 UOQ327679:UOQ327680 UYM327679:UYM327680 VII327679:VII327680 VSE327679:VSE327680 WCA327679:WCA327680 WLW327679:WLW327680 WVS327679:WVS327680 K393215:K393216 JG393215:JG393216 TC393215:TC393216 ACY393215:ACY393216 AMU393215:AMU393216 AWQ393215:AWQ393216 BGM393215:BGM393216 BQI393215:BQI393216 CAE393215:CAE393216 CKA393215:CKA393216 CTW393215:CTW393216 DDS393215:DDS393216 DNO393215:DNO393216 DXK393215:DXK393216 EHG393215:EHG393216 ERC393215:ERC393216 FAY393215:FAY393216 FKU393215:FKU393216 FUQ393215:FUQ393216 GEM393215:GEM393216 GOI393215:GOI393216 GYE393215:GYE393216 HIA393215:HIA393216 HRW393215:HRW393216 IBS393215:IBS393216 ILO393215:ILO393216 IVK393215:IVK393216 JFG393215:JFG393216 JPC393215:JPC393216 JYY393215:JYY393216 KIU393215:KIU393216 KSQ393215:KSQ393216 LCM393215:LCM393216 LMI393215:LMI393216 LWE393215:LWE393216 MGA393215:MGA393216 MPW393215:MPW393216 MZS393215:MZS393216 NJO393215:NJO393216 NTK393215:NTK393216 ODG393215:ODG393216 ONC393215:ONC393216 OWY393215:OWY393216 PGU393215:PGU393216 PQQ393215:PQQ393216 QAM393215:QAM393216 QKI393215:QKI393216 QUE393215:QUE393216 REA393215:REA393216 RNW393215:RNW393216 RXS393215:RXS393216 SHO393215:SHO393216 SRK393215:SRK393216 TBG393215:TBG393216 TLC393215:TLC393216 TUY393215:TUY393216 UEU393215:UEU393216 UOQ393215:UOQ393216 UYM393215:UYM393216 VII393215:VII393216 VSE393215:VSE393216 WCA393215:WCA393216 WLW393215:WLW393216 WVS393215:WVS393216 K458751:K458752 JG458751:JG458752 TC458751:TC458752 ACY458751:ACY458752 AMU458751:AMU458752 AWQ458751:AWQ458752 BGM458751:BGM458752 BQI458751:BQI458752 CAE458751:CAE458752 CKA458751:CKA458752 CTW458751:CTW458752 DDS458751:DDS458752 DNO458751:DNO458752 DXK458751:DXK458752 EHG458751:EHG458752 ERC458751:ERC458752 FAY458751:FAY458752 FKU458751:FKU458752 FUQ458751:FUQ458752 GEM458751:GEM458752 GOI458751:GOI458752 GYE458751:GYE458752 HIA458751:HIA458752 HRW458751:HRW458752 IBS458751:IBS458752 ILO458751:ILO458752 IVK458751:IVK458752 JFG458751:JFG458752 JPC458751:JPC458752 JYY458751:JYY458752 KIU458751:KIU458752 KSQ458751:KSQ458752 LCM458751:LCM458752 LMI458751:LMI458752 LWE458751:LWE458752 MGA458751:MGA458752 MPW458751:MPW458752 MZS458751:MZS458752 NJO458751:NJO458752 NTK458751:NTK458752 ODG458751:ODG458752 ONC458751:ONC458752 OWY458751:OWY458752 PGU458751:PGU458752 PQQ458751:PQQ458752 QAM458751:QAM458752 QKI458751:QKI458752 QUE458751:QUE458752 REA458751:REA458752 RNW458751:RNW458752 RXS458751:RXS458752 SHO458751:SHO458752 SRK458751:SRK458752 TBG458751:TBG458752 TLC458751:TLC458752 TUY458751:TUY458752 UEU458751:UEU458752 UOQ458751:UOQ458752 UYM458751:UYM458752 VII458751:VII458752 VSE458751:VSE458752 WCA458751:WCA458752 WLW458751:WLW458752 WVS458751:WVS458752 K524287:K524288 JG524287:JG524288 TC524287:TC524288 ACY524287:ACY524288 AMU524287:AMU524288 AWQ524287:AWQ524288 BGM524287:BGM524288 BQI524287:BQI524288 CAE524287:CAE524288 CKA524287:CKA524288 CTW524287:CTW524288 DDS524287:DDS524288 DNO524287:DNO524288 DXK524287:DXK524288 EHG524287:EHG524288 ERC524287:ERC524288 FAY524287:FAY524288 FKU524287:FKU524288 FUQ524287:FUQ524288 GEM524287:GEM524288 GOI524287:GOI524288 GYE524287:GYE524288 HIA524287:HIA524288 HRW524287:HRW524288 IBS524287:IBS524288 ILO524287:ILO524288 IVK524287:IVK524288 JFG524287:JFG524288 JPC524287:JPC524288 JYY524287:JYY524288 KIU524287:KIU524288 KSQ524287:KSQ524288 LCM524287:LCM524288 LMI524287:LMI524288 LWE524287:LWE524288 MGA524287:MGA524288 MPW524287:MPW524288 MZS524287:MZS524288 NJO524287:NJO524288 NTK524287:NTK524288 ODG524287:ODG524288 ONC524287:ONC524288 OWY524287:OWY524288 PGU524287:PGU524288 PQQ524287:PQQ524288 QAM524287:QAM524288 QKI524287:QKI524288 QUE524287:QUE524288 REA524287:REA524288 RNW524287:RNW524288 RXS524287:RXS524288 SHO524287:SHO524288 SRK524287:SRK524288 TBG524287:TBG524288 TLC524287:TLC524288 TUY524287:TUY524288 UEU524287:UEU524288 UOQ524287:UOQ524288 UYM524287:UYM524288 VII524287:VII524288 VSE524287:VSE524288 WCA524287:WCA524288 WLW524287:WLW524288 WVS524287:WVS524288 K589823:K589824 JG589823:JG589824 TC589823:TC589824 ACY589823:ACY589824 AMU589823:AMU589824 AWQ589823:AWQ589824 BGM589823:BGM589824 BQI589823:BQI589824 CAE589823:CAE589824 CKA589823:CKA589824 CTW589823:CTW589824 DDS589823:DDS589824 DNO589823:DNO589824 DXK589823:DXK589824 EHG589823:EHG589824 ERC589823:ERC589824 FAY589823:FAY589824 FKU589823:FKU589824 FUQ589823:FUQ589824 GEM589823:GEM589824 GOI589823:GOI589824 GYE589823:GYE589824 HIA589823:HIA589824 HRW589823:HRW589824 IBS589823:IBS589824 ILO589823:ILO589824 IVK589823:IVK589824 JFG589823:JFG589824 JPC589823:JPC589824 JYY589823:JYY589824 KIU589823:KIU589824 KSQ589823:KSQ589824 LCM589823:LCM589824 LMI589823:LMI589824 LWE589823:LWE589824 MGA589823:MGA589824 MPW589823:MPW589824 MZS589823:MZS589824 NJO589823:NJO589824 NTK589823:NTK589824 ODG589823:ODG589824 ONC589823:ONC589824 OWY589823:OWY589824 PGU589823:PGU589824 PQQ589823:PQQ589824 QAM589823:QAM589824 QKI589823:QKI589824 QUE589823:QUE589824 REA589823:REA589824 RNW589823:RNW589824 RXS589823:RXS589824 SHO589823:SHO589824 SRK589823:SRK589824 TBG589823:TBG589824 TLC589823:TLC589824 TUY589823:TUY589824 UEU589823:UEU589824 UOQ589823:UOQ589824 UYM589823:UYM589824 VII589823:VII589824 VSE589823:VSE589824 WCA589823:WCA589824 WLW589823:WLW589824 WVS589823:WVS589824 K655359:K655360 JG655359:JG655360 TC655359:TC655360 ACY655359:ACY655360 AMU655359:AMU655360 AWQ655359:AWQ655360 BGM655359:BGM655360 BQI655359:BQI655360 CAE655359:CAE655360 CKA655359:CKA655360 CTW655359:CTW655360 DDS655359:DDS655360 DNO655359:DNO655360 DXK655359:DXK655360 EHG655359:EHG655360 ERC655359:ERC655360 FAY655359:FAY655360 FKU655359:FKU655360 FUQ655359:FUQ655360 GEM655359:GEM655360 GOI655359:GOI655360 GYE655359:GYE655360 HIA655359:HIA655360 HRW655359:HRW655360 IBS655359:IBS655360 ILO655359:ILO655360 IVK655359:IVK655360 JFG655359:JFG655360 JPC655359:JPC655360 JYY655359:JYY655360 KIU655359:KIU655360 KSQ655359:KSQ655360 LCM655359:LCM655360 LMI655359:LMI655360 LWE655359:LWE655360 MGA655359:MGA655360 MPW655359:MPW655360 MZS655359:MZS655360 NJO655359:NJO655360 NTK655359:NTK655360 ODG655359:ODG655360 ONC655359:ONC655360 OWY655359:OWY655360 PGU655359:PGU655360 PQQ655359:PQQ655360 QAM655359:QAM655360 QKI655359:QKI655360 QUE655359:QUE655360 REA655359:REA655360 RNW655359:RNW655360 RXS655359:RXS655360 SHO655359:SHO655360 SRK655359:SRK655360 TBG655359:TBG655360 TLC655359:TLC655360 TUY655359:TUY655360 UEU655359:UEU655360 UOQ655359:UOQ655360 UYM655359:UYM655360 VII655359:VII655360 VSE655359:VSE655360 WCA655359:WCA655360 WLW655359:WLW655360 WVS655359:WVS655360 K720895:K720896 JG720895:JG720896 TC720895:TC720896 ACY720895:ACY720896 AMU720895:AMU720896 AWQ720895:AWQ720896 BGM720895:BGM720896 BQI720895:BQI720896 CAE720895:CAE720896 CKA720895:CKA720896 CTW720895:CTW720896 DDS720895:DDS720896 DNO720895:DNO720896 DXK720895:DXK720896 EHG720895:EHG720896 ERC720895:ERC720896 FAY720895:FAY720896 FKU720895:FKU720896 FUQ720895:FUQ720896 GEM720895:GEM720896 GOI720895:GOI720896 GYE720895:GYE720896 HIA720895:HIA720896 HRW720895:HRW720896 IBS720895:IBS720896 ILO720895:ILO720896 IVK720895:IVK720896 JFG720895:JFG720896 JPC720895:JPC720896 JYY720895:JYY720896 KIU720895:KIU720896 KSQ720895:KSQ720896 LCM720895:LCM720896 LMI720895:LMI720896 LWE720895:LWE720896 MGA720895:MGA720896 MPW720895:MPW720896 MZS720895:MZS720896 NJO720895:NJO720896 NTK720895:NTK720896 ODG720895:ODG720896 ONC720895:ONC720896 OWY720895:OWY720896 PGU720895:PGU720896 PQQ720895:PQQ720896 QAM720895:QAM720896 QKI720895:QKI720896 QUE720895:QUE720896 REA720895:REA720896 RNW720895:RNW720896 RXS720895:RXS720896 SHO720895:SHO720896 SRK720895:SRK720896 TBG720895:TBG720896 TLC720895:TLC720896 TUY720895:TUY720896 UEU720895:UEU720896 UOQ720895:UOQ720896 UYM720895:UYM720896 VII720895:VII720896 VSE720895:VSE720896 WCA720895:WCA720896 WLW720895:WLW720896 WVS720895:WVS720896 K786431:K786432 JG786431:JG786432 TC786431:TC786432 ACY786431:ACY786432 AMU786431:AMU786432 AWQ786431:AWQ786432 BGM786431:BGM786432 BQI786431:BQI786432 CAE786431:CAE786432 CKA786431:CKA786432 CTW786431:CTW786432 DDS786431:DDS786432 DNO786431:DNO786432 DXK786431:DXK786432 EHG786431:EHG786432 ERC786431:ERC786432 FAY786431:FAY786432 FKU786431:FKU786432 FUQ786431:FUQ786432 GEM786431:GEM786432 GOI786431:GOI786432 GYE786431:GYE786432 HIA786431:HIA786432 HRW786431:HRW786432 IBS786431:IBS786432 ILO786431:ILO786432 IVK786431:IVK786432 JFG786431:JFG786432 JPC786431:JPC786432 JYY786431:JYY786432 KIU786431:KIU786432 KSQ786431:KSQ786432 LCM786431:LCM786432 LMI786431:LMI786432 LWE786431:LWE786432 MGA786431:MGA786432 MPW786431:MPW786432 MZS786431:MZS786432 NJO786431:NJO786432 NTK786431:NTK786432 ODG786431:ODG786432 ONC786431:ONC786432 OWY786431:OWY786432 PGU786431:PGU786432 PQQ786431:PQQ786432 QAM786431:QAM786432 QKI786431:QKI786432 QUE786431:QUE786432 REA786431:REA786432 RNW786431:RNW786432 RXS786431:RXS786432 SHO786431:SHO786432 SRK786431:SRK786432 TBG786431:TBG786432 TLC786431:TLC786432 TUY786431:TUY786432 UEU786431:UEU786432 UOQ786431:UOQ786432 UYM786431:UYM786432 VII786431:VII786432 VSE786431:VSE786432 WCA786431:WCA786432 WLW786431:WLW786432 WVS786431:WVS786432 K851967:K851968 JG851967:JG851968 TC851967:TC851968 ACY851967:ACY851968 AMU851967:AMU851968 AWQ851967:AWQ851968 BGM851967:BGM851968 BQI851967:BQI851968 CAE851967:CAE851968 CKA851967:CKA851968 CTW851967:CTW851968 DDS851967:DDS851968 DNO851967:DNO851968 DXK851967:DXK851968 EHG851967:EHG851968 ERC851967:ERC851968 FAY851967:FAY851968 FKU851967:FKU851968 FUQ851967:FUQ851968 GEM851967:GEM851968 GOI851967:GOI851968 GYE851967:GYE851968 HIA851967:HIA851968 HRW851967:HRW851968 IBS851967:IBS851968 ILO851967:ILO851968 IVK851967:IVK851968 JFG851967:JFG851968 JPC851967:JPC851968 JYY851967:JYY851968 KIU851967:KIU851968 KSQ851967:KSQ851968 LCM851967:LCM851968 LMI851967:LMI851968 LWE851967:LWE851968 MGA851967:MGA851968 MPW851967:MPW851968 MZS851967:MZS851968 NJO851967:NJO851968 NTK851967:NTK851968 ODG851967:ODG851968 ONC851967:ONC851968 OWY851967:OWY851968 PGU851967:PGU851968 PQQ851967:PQQ851968 QAM851967:QAM851968 QKI851967:QKI851968 QUE851967:QUE851968 REA851967:REA851968 RNW851967:RNW851968 RXS851967:RXS851968 SHO851967:SHO851968 SRK851967:SRK851968 TBG851967:TBG851968 TLC851967:TLC851968 TUY851967:TUY851968 UEU851967:UEU851968 UOQ851967:UOQ851968 UYM851967:UYM851968 VII851967:VII851968 VSE851967:VSE851968 WCA851967:WCA851968 WLW851967:WLW851968 WVS851967:WVS851968 K917503:K917504 JG917503:JG917504 TC917503:TC917504 ACY917503:ACY917504 AMU917503:AMU917504 AWQ917503:AWQ917504 BGM917503:BGM917504 BQI917503:BQI917504 CAE917503:CAE917504 CKA917503:CKA917504 CTW917503:CTW917504 DDS917503:DDS917504 DNO917503:DNO917504 DXK917503:DXK917504 EHG917503:EHG917504 ERC917503:ERC917504 FAY917503:FAY917504 FKU917503:FKU917504 FUQ917503:FUQ917504 GEM917503:GEM917504 GOI917503:GOI917504 GYE917503:GYE917504 HIA917503:HIA917504 HRW917503:HRW917504 IBS917503:IBS917504 ILO917503:ILO917504 IVK917503:IVK917504 JFG917503:JFG917504 JPC917503:JPC917504 JYY917503:JYY917504 KIU917503:KIU917504 KSQ917503:KSQ917504 LCM917503:LCM917504 LMI917503:LMI917504 LWE917503:LWE917504 MGA917503:MGA917504 MPW917503:MPW917504 MZS917503:MZS917504 NJO917503:NJO917504 NTK917503:NTK917504 ODG917503:ODG917504 ONC917503:ONC917504 OWY917503:OWY917504 PGU917503:PGU917504 PQQ917503:PQQ917504 QAM917503:QAM917504 QKI917503:QKI917504 QUE917503:QUE917504 REA917503:REA917504 RNW917503:RNW917504 RXS917503:RXS917504 SHO917503:SHO917504 SRK917503:SRK917504 TBG917503:TBG917504 TLC917503:TLC917504 TUY917503:TUY917504 UEU917503:UEU917504 UOQ917503:UOQ917504 UYM917503:UYM917504 VII917503:VII917504 VSE917503:VSE917504 WCA917503:WCA917504 WLW917503:WLW917504 WVS917503:WVS917504 K983039:K983040 JG983039:JG983040 TC983039:TC983040 ACY983039:ACY983040 AMU983039:AMU983040 AWQ983039:AWQ983040 BGM983039:BGM983040 BQI983039:BQI983040 CAE983039:CAE983040 CKA983039:CKA983040 CTW983039:CTW983040 DDS983039:DDS983040 DNO983039:DNO983040 DXK983039:DXK983040 EHG983039:EHG983040 ERC983039:ERC983040 FAY983039:FAY983040 FKU983039:FKU983040 FUQ983039:FUQ983040 GEM983039:GEM983040 GOI983039:GOI983040 GYE983039:GYE983040 HIA983039:HIA983040 HRW983039:HRW983040 IBS983039:IBS983040 ILO983039:ILO983040 IVK983039:IVK983040 JFG983039:JFG983040 JPC983039:JPC983040 JYY983039:JYY983040 KIU983039:KIU983040 KSQ983039:KSQ983040 LCM983039:LCM983040 LMI983039:LMI983040 LWE983039:LWE983040 MGA983039:MGA983040 MPW983039:MPW983040 MZS983039:MZS983040 NJO983039:NJO983040 NTK983039:NTK983040 ODG983039:ODG983040 ONC983039:ONC983040 OWY983039:OWY983040 PGU983039:PGU983040 PQQ983039:PQQ983040 QAM983039:QAM983040 QKI983039:QKI983040 QUE983039:QUE983040 REA983039:REA983040 RNW983039:RNW983040 RXS983039:RXS983040 SHO983039:SHO983040 SRK983039:SRK983040 TBG983039:TBG983040 TLC983039:TLC983040 TUY983039:TUY983040 UEU983039:UEU983040 UOQ983039:UOQ983040 UYM983039:UYM983040 VII983039:VII983040 VSE983039:VSE983040 WCA983039:WCA983040 WLW983039:WLW983040 K3:K4"/>
  </dataValidations>
  <pageMargins left="0.75" right="0.75" top="1" bottom="1" header="0.5" footer="0.5"/>
  <pageSetup paperSize="9" orientation="landscape"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89" r:id="rId4" name="Button 5">
              <controlPr defaultSize="0" print="0" autoFill="0" autoPict="0" macro="[0]!Button15_Click_Member_add">
                <anchor moveWithCells="1">
                  <from>
                    <xdr:col>0</xdr:col>
                    <xdr:colOff>38100</xdr:colOff>
                    <xdr:row>21</xdr:row>
                    <xdr:rowOff>47625</xdr:rowOff>
                  </from>
                  <to>
                    <xdr:col>0</xdr:col>
                    <xdr:colOff>685800</xdr:colOff>
                    <xdr:row>22</xdr:row>
                    <xdr:rowOff>57150</xdr:rowOff>
                  </to>
                </anchor>
              </controlPr>
            </control>
          </mc:Choice>
        </mc:AlternateContent>
        <mc:AlternateContent xmlns:mc="http://schemas.openxmlformats.org/markup-compatibility/2006">
          <mc:Choice Requires="x14">
            <control shapeId="41992" r:id="rId5" name="Button 8">
              <controlPr defaultSize="0" print="0" autoFill="0" autoPict="0" macro="[0]!Button16_Click_Member_delete">
                <anchor moveWithCells="1">
                  <from>
                    <xdr:col>0</xdr:col>
                    <xdr:colOff>742950</xdr:colOff>
                    <xdr:row>21</xdr:row>
                    <xdr:rowOff>47625</xdr:rowOff>
                  </from>
                  <to>
                    <xdr:col>1</xdr:col>
                    <xdr:colOff>9525</xdr:colOff>
                    <xdr:row>22</xdr:row>
                    <xdr:rowOff>57150</xdr:rowOff>
                  </to>
                </anchor>
              </controlPr>
            </control>
          </mc:Choice>
        </mc:AlternateContent>
        <mc:AlternateContent xmlns:mc="http://schemas.openxmlformats.org/markup-compatibility/2006">
          <mc:Choice Requires="x14">
            <control shapeId="42008" r:id="rId6" name="Button 24">
              <controlPr defaultSize="0" print="0" autoFill="0" autoPict="0" macro="[0]!Button17_Click_week_add">
                <anchor moveWithCells="1">
                  <from>
                    <xdr:col>10</xdr:col>
                    <xdr:colOff>209550</xdr:colOff>
                    <xdr:row>7</xdr:row>
                    <xdr:rowOff>85725</xdr:rowOff>
                  </from>
                  <to>
                    <xdr:col>11</xdr:col>
                    <xdr:colOff>200025</xdr:colOff>
                    <xdr:row>8</xdr:row>
                    <xdr:rowOff>171450</xdr:rowOff>
                  </to>
                </anchor>
              </controlPr>
            </control>
          </mc:Choice>
        </mc:AlternateContent>
        <mc:AlternateContent xmlns:mc="http://schemas.openxmlformats.org/markup-compatibility/2006">
          <mc:Choice Requires="x14">
            <control shapeId="42014" r:id="rId7" name="Button 30">
              <controlPr defaultSize="0" print="0" autoFill="0" autoPict="0" macro="[0]!Button18_Click_week_delete">
                <anchor moveWithCells="1">
                  <from>
                    <xdr:col>10</xdr:col>
                    <xdr:colOff>200025</xdr:colOff>
                    <xdr:row>9</xdr:row>
                    <xdr:rowOff>76200</xdr:rowOff>
                  </from>
                  <to>
                    <xdr:col>11</xdr:col>
                    <xdr:colOff>200025</xdr:colOff>
                    <xdr:row>10</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U113"/>
  <sheetViews>
    <sheetView workbookViewId="0">
      <selection activeCell="N119" sqref="N119"/>
    </sheetView>
  </sheetViews>
  <sheetFormatPr defaultColWidth="9" defaultRowHeight="16.5"/>
  <cols>
    <col min="1" max="1" width="8.75" style="274" customWidth="1"/>
    <col min="2" max="2" width="20.75" style="274" customWidth="1"/>
    <col min="3" max="7" width="9" style="274"/>
    <col min="8" max="8" width="11.375" style="274" customWidth="1"/>
    <col min="9" max="13" width="9" style="274"/>
    <col min="14" max="14" width="8.25" style="274" bestFit="1" customWidth="1"/>
    <col min="15" max="15" width="19.25" style="274" bestFit="1" customWidth="1"/>
    <col min="16" max="16" width="9" style="274"/>
    <col min="17" max="17" width="18.375" style="274" customWidth="1"/>
    <col min="18" max="16384" width="9" style="274"/>
  </cols>
  <sheetData>
    <row r="1" spans="1:7" s="275" customFormat="1">
      <c r="A1" s="275" t="s">
        <v>328</v>
      </c>
    </row>
    <row r="2" spans="1:7">
      <c r="B2" s="274" t="s">
        <v>327</v>
      </c>
    </row>
    <row r="4" spans="1:7" s="275" customFormat="1">
      <c r="A4" s="275" t="s">
        <v>326</v>
      </c>
    </row>
    <row r="5" spans="1:7" s="297" customFormat="1" ht="18">
      <c r="A5" s="298" t="s">
        <v>325</v>
      </c>
    </row>
    <row r="6" spans="1:7" ht="45">
      <c r="B6" s="313" t="s">
        <v>324</v>
      </c>
      <c r="C6" s="312" t="s">
        <v>921</v>
      </c>
      <c r="D6" s="301" t="s">
        <v>920</v>
      </c>
      <c r="E6" s="312" t="s">
        <v>323</v>
      </c>
      <c r="F6" s="312" t="s">
        <v>322</v>
      </c>
      <c r="G6" s="311" t="s">
        <v>159</v>
      </c>
    </row>
    <row r="7" spans="1:7">
      <c r="B7" s="310" t="s">
        <v>321</v>
      </c>
      <c r="C7" s="309"/>
      <c r="D7" s="308"/>
      <c r="E7" s="307"/>
      <c r="F7" s="307"/>
      <c r="G7" s="303" t="e">
        <f>(F7-E7)/E7</f>
        <v>#DIV/0!</v>
      </c>
    </row>
    <row r="8" spans="1:7">
      <c r="B8" s="306" t="s">
        <v>200</v>
      </c>
      <c r="C8" s="305"/>
      <c r="D8" s="304"/>
      <c r="E8" s="304"/>
      <c r="F8" s="304"/>
      <c r="G8" s="303" t="e">
        <f>(F8-E8)/E8</f>
        <v>#DIV/0!</v>
      </c>
    </row>
    <row r="10" spans="1:7" ht="17.25" thickBot="1">
      <c r="C10" s="302" t="s">
        <v>132</v>
      </c>
      <c r="D10" s="296" t="s">
        <v>320</v>
      </c>
      <c r="E10" s="301" t="s">
        <v>312</v>
      </c>
      <c r="F10" s="301" t="s">
        <v>319</v>
      </c>
      <c r="G10" s="301" t="s">
        <v>310</v>
      </c>
    </row>
    <row r="11" spans="1:7">
      <c r="B11" s="300" t="s">
        <v>318</v>
      </c>
      <c r="C11" s="293"/>
      <c r="D11" s="293"/>
      <c r="E11" s="292"/>
      <c r="F11" s="292"/>
      <c r="G11" s="291"/>
    </row>
    <row r="12" spans="1:7" ht="17.25" thickBot="1">
      <c r="B12" s="299" t="s">
        <v>317</v>
      </c>
      <c r="C12" s="288"/>
      <c r="D12" s="288"/>
      <c r="E12" s="638"/>
      <c r="F12" s="639"/>
      <c r="G12" s="640"/>
    </row>
    <row r="14" spans="1:7">
      <c r="B14" s="274" t="s">
        <v>316</v>
      </c>
    </row>
    <row r="15" spans="1:7">
      <c r="B15" s="274" t="s">
        <v>315</v>
      </c>
    </row>
    <row r="17" spans="1:15" s="297" customFormat="1" ht="18">
      <c r="A17" s="298" t="s">
        <v>314</v>
      </c>
    </row>
    <row r="20" spans="1:15">
      <c r="O20" s="274" t="s">
        <v>313</v>
      </c>
    </row>
    <row r="30" spans="1:15" ht="17.25" thickBot="1">
      <c r="C30" s="296" t="s">
        <v>131</v>
      </c>
      <c r="D30" s="295" t="s">
        <v>312</v>
      </c>
      <c r="E30" s="111" t="s">
        <v>311</v>
      </c>
      <c r="F30" s="111" t="s">
        <v>310</v>
      </c>
    </row>
    <row r="31" spans="1:15">
      <c r="B31" s="294" t="s">
        <v>309</v>
      </c>
      <c r="C31" s="293"/>
      <c r="D31" s="292"/>
      <c r="E31" s="292"/>
      <c r="F31" s="291"/>
    </row>
    <row r="32" spans="1:15" ht="17.25" thickBot="1">
      <c r="B32" s="290" t="s">
        <v>308</v>
      </c>
      <c r="C32" s="288"/>
      <c r="D32" s="287"/>
      <c r="E32" s="286"/>
      <c r="F32" s="285"/>
    </row>
    <row r="33" spans="1:7">
      <c r="B33" s="284" t="s">
        <v>307</v>
      </c>
    </row>
    <row r="34" spans="1:7">
      <c r="B34" s="284" t="s">
        <v>306</v>
      </c>
    </row>
    <row r="35" spans="1:7" ht="17.25" thickBot="1"/>
    <row r="36" spans="1:7">
      <c r="B36" s="294" t="s">
        <v>305</v>
      </c>
      <c r="C36" s="293"/>
      <c r="D36" s="293"/>
      <c r="E36" s="292"/>
      <c r="F36" s="292"/>
      <c r="G36" s="291"/>
    </row>
    <row r="37" spans="1:7" ht="17.25" thickBot="1">
      <c r="B37" s="290" t="s">
        <v>304</v>
      </c>
      <c r="C37" s="289"/>
      <c r="D37" s="288"/>
      <c r="E37" s="287"/>
      <c r="F37" s="286"/>
      <c r="G37" s="285"/>
    </row>
    <row r="38" spans="1:7" s="284" customFormat="1">
      <c r="B38" s="284" t="s">
        <v>303</v>
      </c>
    </row>
    <row r="41" spans="1:7">
      <c r="B41" s="274" t="s">
        <v>302</v>
      </c>
    </row>
    <row r="44" spans="1:7">
      <c r="D44" s="276"/>
    </row>
    <row r="46" spans="1:7" s="275" customFormat="1">
      <c r="A46" s="275" t="s">
        <v>301</v>
      </c>
    </row>
    <row r="47" spans="1:7">
      <c r="B47" s="274" t="s">
        <v>300</v>
      </c>
      <c r="D47" s="276"/>
    </row>
    <row r="74" spans="2:21">
      <c r="B74" s="274" t="s">
        <v>299</v>
      </c>
      <c r="D74" s="276"/>
    </row>
    <row r="75" spans="2:21" ht="17.25" thickBot="1">
      <c r="B75" s="283" t="s">
        <v>298</v>
      </c>
      <c r="C75" s="958" t="s">
        <v>297</v>
      </c>
      <c r="D75" s="959"/>
      <c r="E75" s="959"/>
      <c r="F75" s="959"/>
      <c r="G75" s="960"/>
      <c r="H75" s="282" t="s">
        <v>296</v>
      </c>
      <c r="M75" s="281"/>
      <c r="N75" s="281"/>
      <c r="O75" s="281"/>
      <c r="P75" s="281"/>
      <c r="Q75" s="281"/>
      <c r="R75" s="281"/>
      <c r="S75" s="281"/>
      <c r="T75" s="281"/>
      <c r="U75" s="281"/>
    </row>
    <row r="76" spans="2:21" ht="17.25" thickTop="1">
      <c r="B76" s="280">
        <v>1</v>
      </c>
      <c r="C76" s="950"/>
      <c r="D76" s="951"/>
      <c r="E76" s="951"/>
      <c r="F76" s="951"/>
      <c r="G76" s="952"/>
      <c r="H76" s="279"/>
      <c r="M76" s="281"/>
      <c r="N76" s="281"/>
      <c r="O76" s="281"/>
      <c r="P76" s="281"/>
      <c r="Q76" s="281"/>
      <c r="R76" s="281"/>
      <c r="S76" s="281"/>
      <c r="T76" s="281"/>
      <c r="U76" s="281"/>
    </row>
    <row r="77" spans="2:21" ht="17.25" customHeight="1">
      <c r="B77" s="280">
        <v>2</v>
      </c>
      <c r="C77" s="950"/>
      <c r="D77" s="951"/>
      <c r="E77" s="951"/>
      <c r="F77" s="951"/>
      <c r="G77" s="952"/>
      <c r="H77" s="279"/>
      <c r="M77" s="281"/>
      <c r="N77" s="281"/>
      <c r="O77" s="281"/>
      <c r="P77" s="281"/>
      <c r="Q77" s="281"/>
      <c r="R77" s="281"/>
      <c r="S77" s="281"/>
      <c r="T77" s="281"/>
      <c r="U77" s="281"/>
    </row>
    <row r="78" spans="2:21" ht="17.25" customHeight="1">
      <c r="B78" s="280">
        <v>3</v>
      </c>
      <c r="C78" s="950"/>
      <c r="D78" s="951"/>
      <c r="E78" s="951"/>
      <c r="F78" s="951"/>
      <c r="G78" s="952"/>
      <c r="H78" s="279"/>
      <c r="M78" s="281"/>
      <c r="N78" s="281"/>
      <c r="O78" s="281"/>
      <c r="P78" s="281"/>
      <c r="Q78" s="281"/>
      <c r="R78" s="281"/>
      <c r="S78" s="281"/>
      <c r="T78" s="281"/>
      <c r="U78" s="281"/>
    </row>
    <row r="79" spans="2:21" ht="17.25" customHeight="1">
      <c r="B79" s="280">
        <v>4</v>
      </c>
      <c r="C79" s="950"/>
      <c r="D79" s="951"/>
      <c r="E79" s="951"/>
      <c r="F79" s="951"/>
      <c r="G79" s="952"/>
      <c r="H79" s="279"/>
      <c r="M79" s="281"/>
      <c r="N79" s="281"/>
      <c r="O79" s="281"/>
      <c r="P79" s="281"/>
      <c r="Q79" s="281"/>
      <c r="R79" s="281"/>
      <c r="S79" s="281"/>
      <c r="T79" s="281"/>
      <c r="U79" s="281"/>
    </row>
    <row r="80" spans="2:21" ht="18" customHeight="1">
      <c r="B80" s="280">
        <v>5</v>
      </c>
      <c r="C80" s="950"/>
      <c r="D80" s="951"/>
      <c r="E80" s="951"/>
      <c r="F80" s="951"/>
      <c r="G80" s="952"/>
      <c r="H80" s="279"/>
    </row>
    <row r="81" spans="2:8" ht="17.25" thickBot="1">
      <c r="B81" s="280">
        <v>6</v>
      </c>
      <c r="C81" s="950"/>
      <c r="D81" s="951"/>
      <c r="E81" s="951"/>
      <c r="F81" s="951"/>
      <c r="G81" s="952"/>
      <c r="H81" s="279"/>
    </row>
    <row r="82" spans="2:8" ht="17.25" thickTop="1">
      <c r="B82" s="278"/>
      <c r="C82" s="953" t="s">
        <v>295</v>
      </c>
      <c r="D82" s="954"/>
      <c r="E82" s="954"/>
      <c r="F82" s="954"/>
      <c r="G82" s="955"/>
      <c r="H82" s="277">
        <f>SUM(H76:H81)</f>
        <v>0</v>
      </c>
    </row>
    <row r="84" spans="2:8">
      <c r="B84" s="274" t="s">
        <v>294</v>
      </c>
      <c r="D84" s="276"/>
    </row>
    <row r="104" spans="1:11" s="275" customFormat="1">
      <c r="A104" s="275" t="s">
        <v>293</v>
      </c>
    </row>
    <row r="105" spans="1:11" ht="38.25" customHeight="1">
      <c r="B105" s="956" t="s">
        <v>292</v>
      </c>
      <c r="C105" s="957"/>
      <c r="D105" s="957"/>
      <c r="E105" s="957"/>
      <c r="F105" s="957"/>
      <c r="G105" s="957"/>
      <c r="H105" s="957"/>
      <c r="I105" s="957"/>
      <c r="J105" s="957"/>
      <c r="K105" s="957"/>
    </row>
    <row r="107" spans="1:11" s="275" customFormat="1">
      <c r="A107" s="275" t="s">
        <v>291</v>
      </c>
    </row>
    <row r="108" spans="1:11">
      <c r="B108" s="274" t="s">
        <v>290</v>
      </c>
    </row>
    <row r="109" spans="1:11">
      <c r="B109" s="274" t="s">
        <v>289</v>
      </c>
    </row>
    <row r="110" spans="1:11">
      <c r="B110" s="274" t="s">
        <v>288</v>
      </c>
    </row>
    <row r="112" spans="1:11">
      <c r="B112" s="274" t="s">
        <v>287</v>
      </c>
    </row>
    <row r="113" spans="2:2">
      <c r="B113" s="274" t="s">
        <v>286</v>
      </c>
    </row>
  </sheetData>
  <mergeCells count="9">
    <mergeCell ref="C81:G81"/>
    <mergeCell ref="C82:G82"/>
    <mergeCell ref="B105:K105"/>
    <mergeCell ref="C75:G75"/>
    <mergeCell ref="C76:G76"/>
    <mergeCell ref="C77:G77"/>
    <mergeCell ref="C78:G78"/>
    <mergeCell ref="C79:G79"/>
    <mergeCell ref="C80:G80"/>
  </mergeCells>
  <phoneticPr fontId="4"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00FF"/>
  </sheetPr>
  <dimension ref="A1:J26"/>
  <sheetViews>
    <sheetView zoomScale="85" zoomScaleNormal="85" workbookViewId="0">
      <selection activeCell="K21" sqref="K21"/>
    </sheetView>
  </sheetViews>
  <sheetFormatPr defaultColWidth="9" defaultRowHeight="17.25"/>
  <cols>
    <col min="1" max="1" width="4.875" style="589" customWidth="1"/>
    <col min="2" max="2" width="22.125" style="589" customWidth="1"/>
    <col min="3" max="3" width="19.25" style="597" customWidth="1"/>
    <col min="4" max="4" width="25.25" style="597" customWidth="1"/>
    <col min="5" max="5" width="19.375" style="597" customWidth="1"/>
    <col min="6" max="6" width="18.125" style="589" customWidth="1"/>
    <col min="7" max="7" width="19" style="589" customWidth="1"/>
    <col min="8" max="8" width="20.5" style="589" customWidth="1"/>
    <col min="9" max="9" width="16" style="589" customWidth="1"/>
    <col min="10" max="256" width="9" style="589"/>
    <col min="257" max="257" width="4.875" style="589" customWidth="1"/>
    <col min="258" max="258" width="22.125" style="589" customWidth="1"/>
    <col min="259" max="259" width="19.25" style="589" customWidth="1"/>
    <col min="260" max="260" width="25.25" style="589" customWidth="1"/>
    <col min="261" max="261" width="19.375" style="589" customWidth="1"/>
    <col min="262" max="262" width="18.125" style="589" customWidth="1"/>
    <col min="263" max="263" width="19" style="589" customWidth="1"/>
    <col min="264" max="264" width="20.5" style="589" customWidth="1"/>
    <col min="265" max="265" width="16" style="589" customWidth="1"/>
    <col min="266" max="512" width="9" style="589"/>
    <col min="513" max="513" width="4.875" style="589" customWidth="1"/>
    <col min="514" max="514" width="22.125" style="589" customWidth="1"/>
    <col min="515" max="515" width="19.25" style="589" customWidth="1"/>
    <col min="516" max="516" width="25.25" style="589" customWidth="1"/>
    <col min="517" max="517" width="19.375" style="589" customWidth="1"/>
    <col min="518" max="518" width="18.125" style="589" customWidth="1"/>
    <col min="519" max="519" width="19" style="589" customWidth="1"/>
    <col min="520" max="520" width="20.5" style="589" customWidth="1"/>
    <col min="521" max="521" width="16" style="589" customWidth="1"/>
    <col min="522" max="768" width="9" style="589"/>
    <col min="769" max="769" width="4.875" style="589" customWidth="1"/>
    <col min="770" max="770" width="22.125" style="589" customWidth="1"/>
    <col min="771" max="771" width="19.25" style="589" customWidth="1"/>
    <col min="772" max="772" width="25.25" style="589" customWidth="1"/>
    <col min="773" max="773" width="19.375" style="589" customWidth="1"/>
    <col min="774" max="774" width="18.125" style="589" customWidth="1"/>
    <col min="775" max="775" width="19" style="589" customWidth="1"/>
    <col min="776" max="776" width="20.5" style="589" customWidth="1"/>
    <col min="777" max="777" width="16" style="589" customWidth="1"/>
    <col min="778" max="1024" width="9" style="589"/>
    <col min="1025" max="1025" width="4.875" style="589" customWidth="1"/>
    <col min="1026" max="1026" width="22.125" style="589" customWidth="1"/>
    <col min="1027" max="1027" width="19.25" style="589" customWidth="1"/>
    <col min="1028" max="1028" width="25.25" style="589" customWidth="1"/>
    <col min="1029" max="1029" width="19.375" style="589" customWidth="1"/>
    <col min="1030" max="1030" width="18.125" style="589" customWidth="1"/>
    <col min="1031" max="1031" width="19" style="589" customWidth="1"/>
    <col min="1032" max="1032" width="20.5" style="589" customWidth="1"/>
    <col min="1033" max="1033" width="16" style="589" customWidth="1"/>
    <col min="1034" max="1280" width="9" style="589"/>
    <col min="1281" max="1281" width="4.875" style="589" customWidth="1"/>
    <col min="1282" max="1282" width="22.125" style="589" customWidth="1"/>
    <col min="1283" max="1283" width="19.25" style="589" customWidth="1"/>
    <col min="1284" max="1284" width="25.25" style="589" customWidth="1"/>
    <col min="1285" max="1285" width="19.375" style="589" customWidth="1"/>
    <col min="1286" max="1286" width="18.125" style="589" customWidth="1"/>
    <col min="1287" max="1287" width="19" style="589" customWidth="1"/>
    <col min="1288" max="1288" width="20.5" style="589" customWidth="1"/>
    <col min="1289" max="1289" width="16" style="589" customWidth="1"/>
    <col min="1290" max="1536" width="9" style="589"/>
    <col min="1537" max="1537" width="4.875" style="589" customWidth="1"/>
    <col min="1538" max="1538" width="22.125" style="589" customWidth="1"/>
    <col min="1539" max="1539" width="19.25" style="589" customWidth="1"/>
    <col min="1540" max="1540" width="25.25" style="589" customWidth="1"/>
    <col min="1541" max="1541" width="19.375" style="589" customWidth="1"/>
    <col min="1542" max="1542" width="18.125" style="589" customWidth="1"/>
    <col min="1543" max="1543" width="19" style="589" customWidth="1"/>
    <col min="1544" max="1544" width="20.5" style="589" customWidth="1"/>
    <col min="1545" max="1545" width="16" style="589" customWidth="1"/>
    <col min="1546" max="1792" width="9" style="589"/>
    <col min="1793" max="1793" width="4.875" style="589" customWidth="1"/>
    <col min="1794" max="1794" width="22.125" style="589" customWidth="1"/>
    <col min="1795" max="1795" width="19.25" style="589" customWidth="1"/>
    <col min="1796" max="1796" width="25.25" style="589" customWidth="1"/>
    <col min="1797" max="1797" width="19.375" style="589" customWidth="1"/>
    <col min="1798" max="1798" width="18.125" style="589" customWidth="1"/>
    <col min="1799" max="1799" width="19" style="589" customWidth="1"/>
    <col min="1800" max="1800" width="20.5" style="589" customWidth="1"/>
    <col min="1801" max="1801" width="16" style="589" customWidth="1"/>
    <col min="1802" max="2048" width="9" style="589"/>
    <col min="2049" max="2049" width="4.875" style="589" customWidth="1"/>
    <col min="2050" max="2050" width="22.125" style="589" customWidth="1"/>
    <col min="2051" max="2051" width="19.25" style="589" customWidth="1"/>
    <col min="2052" max="2052" width="25.25" style="589" customWidth="1"/>
    <col min="2053" max="2053" width="19.375" style="589" customWidth="1"/>
    <col min="2054" max="2054" width="18.125" style="589" customWidth="1"/>
    <col min="2055" max="2055" width="19" style="589" customWidth="1"/>
    <col min="2056" max="2056" width="20.5" style="589" customWidth="1"/>
    <col min="2057" max="2057" width="16" style="589" customWidth="1"/>
    <col min="2058" max="2304" width="9" style="589"/>
    <col min="2305" max="2305" width="4.875" style="589" customWidth="1"/>
    <col min="2306" max="2306" width="22.125" style="589" customWidth="1"/>
    <col min="2307" max="2307" width="19.25" style="589" customWidth="1"/>
    <col min="2308" max="2308" width="25.25" style="589" customWidth="1"/>
    <col min="2309" max="2309" width="19.375" style="589" customWidth="1"/>
    <col min="2310" max="2310" width="18.125" style="589" customWidth="1"/>
    <col min="2311" max="2311" width="19" style="589" customWidth="1"/>
    <col min="2312" max="2312" width="20.5" style="589" customWidth="1"/>
    <col min="2313" max="2313" width="16" style="589" customWidth="1"/>
    <col min="2314" max="2560" width="9" style="589"/>
    <col min="2561" max="2561" width="4.875" style="589" customWidth="1"/>
    <col min="2562" max="2562" width="22.125" style="589" customWidth="1"/>
    <col min="2563" max="2563" width="19.25" style="589" customWidth="1"/>
    <col min="2564" max="2564" width="25.25" style="589" customWidth="1"/>
    <col min="2565" max="2565" width="19.375" style="589" customWidth="1"/>
    <col min="2566" max="2566" width="18.125" style="589" customWidth="1"/>
    <col min="2567" max="2567" width="19" style="589" customWidth="1"/>
    <col min="2568" max="2568" width="20.5" style="589" customWidth="1"/>
    <col min="2569" max="2569" width="16" style="589" customWidth="1"/>
    <col min="2570" max="2816" width="9" style="589"/>
    <col min="2817" max="2817" width="4.875" style="589" customWidth="1"/>
    <col min="2818" max="2818" width="22.125" style="589" customWidth="1"/>
    <col min="2819" max="2819" width="19.25" style="589" customWidth="1"/>
    <col min="2820" max="2820" width="25.25" style="589" customWidth="1"/>
    <col min="2821" max="2821" width="19.375" style="589" customWidth="1"/>
    <col min="2822" max="2822" width="18.125" style="589" customWidth="1"/>
    <col min="2823" max="2823" width="19" style="589" customWidth="1"/>
    <col min="2824" max="2824" width="20.5" style="589" customWidth="1"/>
    <col min="2825" max="2825" width="16" style="589" customWidth="1"/>
    <col min="2826" max="3072" width="9" style="589"/>
    <col min="3073" max="3073" width="4.875" style="589" customWidth="1"/>
    <col min="3074" max="3074" width="22.125" style="589" customWidth="1"/>
    <col min="3075" max="3075" width="19.25" style="589" customWidth="1"/>
    <col min="3076" max="3076" width="25.25" style="589" customWidth="1"/>
    <col min="3077" max="3077" width="19.375" style="589" customWidth="1"/>
    <col min="3078" max="3078" width="18.125" style="589" customWidth="1"/>
    <col min="3079" max="3079" width="19" style="589" customWidth="1"/>
    <col min="3080" max="3080" width="20.5" style="589" customWidth="1"/>
    <col min="3081" max="3081" width="16" style="589" customWidth="1"/>
    <col min="3082" max="3328" width="9" style="589"/>
    <col min="3329" max="3329" width="4.875" style="589" customWidth="1"/>
    <col min="3330" max="3330" width="22.125" style="589" customWidth="1"/>
    <col min="3331" max="3331" width="19.25" style="589" customWidth="1"/>
    <col min="3332" max="3332" width="25.25" style="589" customWidth="1"/>
    <col min="3333" max="3333" width="19.375" style="589" customWidth="1"/>
    <col min="3334" max="3334" width="18.125" style="589" customWidth="1"/>
    <col min="3335" max="3335" width="19" style="589" customWidth="1"/>
    <col min="3336" max="3336" width="20.5" style="589" customWidth="1"/>
    <col min="3337" max="3337" width="16" style="589" customWidth="1"/>
    <col min="3338" max="3584" width="9" style="589"/>
    <col min="3585" max="3585" width="4.875" style="589" customWidth="1"/>
    <col min="3586" max="3586" width="22.125" style="589" customWidth="1"/>
    <col min="3587" max="3587" width="19.25" style="589" customWidth="1"/>
    <col min="3588" max="3588" width="25.25" style="589" customWidth="1"/>
    <col min="3589" max="3589" width="19.375" style="589" customWidth="1"/>
    <col min="3590" max="3590" width="18.125" style="589" customWidth="1"/>
    <col min="3591" max="3591" width="19" style="589" customWidth="1"/>
    <col min="3592" max="3592" width="20.5" style="589" customWidth="1"/>
    <col min="3593" max="3593" width="16" style="589" customWidth="1"/>
    <col min="3594" max="3840" width="9" style="589"/>
    <col min="3841" max="3841" width="4.875" style="589" customWidth="1"/>
    <col min="3842" max="3842" width="22.125" style="589" customWidth="1"/>
    <col min="3843" max="3843" width="19.25" style="589" customWidth="1"/>
    <col min="3844" max="3844" width="25.25" style="589" customWidth="1"/>
    <col min="3845" max="3845" width="19.375" style="589" customWidth="1"/>
    <col min="3846" max="3846" width="18.125" style="589" customWidth="1"/>
    <col min="3847" max="3847" width="19" style="589" customWidth="1"/>
    <col min="3848" max="3848" width="20.5" style="589" customWidth="1"/>
    <col min="3849" max="3849" width="16" style="589" customWidth="1"/>
    <col min="3850" max="4096" width="9" style="589"/>
    <col min="4097" max="4097" width="4.875" style="589" customWidth="1"/>
    <col min="4098" max="4098" width="22.125" style="589" customWidth="1"/>
    <col min="4099" max="4099" width="19.25" style="589" customWidth="1"/>
    <col min="4100" max="4100" width="25.25" style="589" customWidth="1"/>
    <col min="4101" max="4101" width="19.375" style="589" customWidth="1"/>
    <col min="4102" max="4102" width="18.125" style="589" customWidth="1"/>
    <col min="4103" max="4103" width="19" style="589" customWidth="1"/>
    <col min="4104" max="4104" width="20.5" style="589" customWidth="1"/>
    <col min="4105" max="4105" width="16" style="589" customWidth="1"/>
    <col min="4106" max="4352" width="9" style="589"/>
    <col min="4353" max="4353" width="4.875" style="589" customWidth="1"/>
    <col min="4354" max="4354" width="22.125" style="589" customWidth="1"/>
    <col min="4355" max="4355" width="19.25" style="589" customWidth="1"/>
    <col min="4356" max="4356" width="25.25" style="589" customWidth="1"/>
    <col min="4357" max="4357" width="19.375" style="589" customWidth="1"/>
    <col min="4358" max="4358" width="18.125" style="589" customWidth="1"/>
    <col min="4359" max="4359" width="19" style="589" customWidth="1"/>
    <col min="4360" max="4360" width="20.5" style="589" customWidth="1"/>
    <col min="4361" max="4361" width="16" style="589" customWidth="1"/>
    <col min="4362" max="4608" width="9" style="589"/>
    <col min="4609" max="4609" width="4.875" style="589" customWidth="1"/>
    <col min="4610" max="4610" width="22.125" style="589" customWidth="1"/>
    <col min="4611" max="4611" width="19.25" style="589" customWidth="1"/>
    <col min="4612" max="4612" width="25.25" style="589" customWidth="1"/>
    <col min="4613" max="4613" width="19.375" style="589" customWidth="1"/>
    <col min="4614" max="4614" width="18.125" style="589" customWidth="1"/>
    <col min="4615" max="4615" width="19" style="589" customWidth="1"/>
    <col min="4616" max="4616" width="20.5" style="589" customWidth="1"/>
    <col min="4617" max="4617" width="16" style="589" customWidth="1"/>
    <col min="4618" max="4864" width="9" style="589"/>
    <col min="4865" max="4865" width="4.875" style="589" customWidth="1"/>
    <col min="4866" max="4866" width="22.125" style="589" customWidth="1"/>
    <col min="4867" max="4867" width="19.25" style="589" customWidth="1"/>
    <col min="4868" max="4868" width="25.25" style="589" customWidth="1"/>
    <col min="4869" max="4869" width="19.375" style="589" customWidth="1"/>
    <col min="4870" max="4870" width="18.125" style="589" customWidth="1"/>
    <col min="4871" max="4871" width="19" style="589" customWidth="1"/>
    <col min="4872" max="4872" width="20.5" style="589" customWidth="1"/>
    <col min="4873" max="4873" width="16" style="589" customWidth="1"/>
    <col min="4874" max="5120" width="9" style="589"/>
    <col min="5121" max="5121" width="4.875" style="589" customWidth="1"/>
    <col min="5122" max="5122" width="22.125" style="589" customWidth="1"/>
    <col min="5123" max="5123" width="19.25" style="589" customWidth="1"/>
    <col min="5124" max="5124" width="25.25" style="589" customWidth="1"/>
    <col min="5125" max="5125" width="19.375" style="589" customWidth="1"/>
    <col min="5126" max="5126" width="18.125" style="589" customWidth="1"/>
    <col min="5127" max="5127" width="19" style="589" customWidth="1"/>
    <col min="5128" max="5128" width="20.5" style="589" customWidth="1"/>
    <col min="5129" max="5129" width="16" style="589" customWidth="1"/>
    <col min="5130" max="5376" width="9" style="589"/>
    <col min="5377" max="5377" width="4.875" style="589" customWidth="1"/>
    <col min="5378" max="5378" width="22.125" style="589" customWidth="1"/>
    <col min="5379" max="5379" width="19.25" style="589" customWidth="1"/>
    <col min="5380" max="5380" width="25.25" style="589" customWidth="1"/>
    <col min="5381" max="5381" width="19.375" style="589" customWidth="1"/>
    <col min="5382" max="5382" width="18.125" style="589" customWidth="1"/>
    <col min="5383" max="5383" width="19" style="589" customWidth="1"/>
    <col min="5384" max="5384" width="20.5" style="589" customWidth="1"/>
    <col min="5385" max="5385" width="16" style="589" customWidth="1"/>
    <col min="5386" max="5632" width="9" style="589"/>
    <col min="5633" max="5633" width="4.875" style="589" customWidth="1"/>
    <col min="5634" max="5634" width="22.125" style="589" customWidth="1"/>
    <col min="5635" max="5635" width="19.25" style="589" customWidth="1"/>
    <col min="5636" max="5636" width="25.25" style="589" customWidth="1"/>
    <col min="5637" max="5637" width="19.375" style="589" customWidth="1"/>
    <col min="5638" max="5638" width="18.125" style="589" customWidth="1"/>
    <col min="5639" max="5639" width="19" style="589" customWidth="1"/>
    <col min="5640" max="5640" width="20.5" style="589" customWidth="1"/>
    <col min="5641" max="5641" width="16" style="589" customWidth="1"/>
    <col min="5642" max="5888" width="9" style="589"/>
    <col min="5889" max="5889" width="4.875" style="589" customWidth="1"/>
    <col min="5890" max="5890" width="22.125" style="589" customWidth="1"/>
    <col min="5891" max="5891" width="19.25" style="589" customWidth="1"/>
    <col min="5892" max="5892" width="25.25" style="589" customWidth="1"/>
    <col min="5893" max="5893" width="19.375" style="589" customWidth="1"/>
    <col min="5894" max="5894" width="18.125" style="589" customWidth="1"/>
    <col min="5895" max="5895" width="19" style="589" customWidth="1"/>
    <col min="5896" max="5896" width="20.5" style="589" customWidth="1"/>
    <col min="5897" max="5897" width="16" style="589" customWidth="1"/>
    <col min="5898" max="6144" width="9" style="589"/>
    <col min="6145" max="6145" width="4.875" style="589" customWidth="1"/>
    <col min="6146" max="6146" width="22.125" style="589" customWidth="1"/>
    <col min="6147" max="6147" width="19.25" style="589" customWidth="1"/>
    <col min="6148" max="6148" width="25.25" style="589" customWidth="1"/>
    <col min="6149" max="6149" width="19.375" style="589" customWidth="1"/>
    <col min="6150" max="6150" width="18.125" style="589" customWidth="1"/>
    <col min="6151" max="6151" width="19" style="589" customWidth="1"/>
    <col min="6152" max="6152" width="20.5" style="589" customWidth="1"/>
    <col min="6153" max="6153" width="16" style="589" customWidth="1"/>
    <col min="6154" max="6400" width="9" style="589"/>
    <col min="6401" max="6401" width="4.875" style="589" customWidth="1"/>
    <col min="6402" max="6402" width="22.125" style="589" customWidth="1"/>
    <col min="6403" max="6403" width="19.25" style="589" customWidth="1"/>
    <col min="6404" max="6404" width="25.25" style="589" customWidth="1"/>
    <col min="6405" max="6405" width="19.375" style="589" customWidth="1"/>
    <col min="6406" max="6406" width="18.125" style="589" customWidth="1"/>
    <col min="6407" max="6407" width="19" style="589" customWidth="1"/>
    <col min="6408" max="6408" width="20.5" style="589" customWidth="1"/>
    <col min="6409" max="6409" width="16" style="589" customWidth="1"/>
    <col min="6410" max="6656" width="9" style="589"/>
    <col min="6657" max="6657" width="4.875" style="589" customWidth="1"/>
    <col min="6658" max="6658" width="22.125" style="589" customWidth="1"/>
    <col min="6659" max="6659" width="19.25" style="589" customWidth="1"/>
    <col min="6660" max="6660" width="25.25" style="589" customWidth="1"/>
    <col min="6661" max="6661" width="19.375" style="589" customWidth="1"/>
    <col min="6662" max="6662" width="18.125" style="589" customWidth="1"/>
    <col min="6663" max="6663" width="19" style="589" customWidth="1"/>
    <col min="6664" max="6664" width="20.5" style="589" customWidth="1"/>
    <col min="6665" max="6665" width="16" style="589" customWidth="1"/>
    <col min="6666" max="6912" width="9" style="589"/>
    <col min="6913" max="6913" width="4.875" style="589" customWidth="1"/>
    <col min="6914" max="6914" width="22.125" style="589" customWidth="1"/>
    <col min="6915" max="6915" width="19.25" style="589" customWidth="1"/>
    <col min="6916" max="6916" width="25.25" style="589" customWidth="1"/>
    <col min="6917" max="6917" width="19.375" style="589" customWidth="1"/>
    <col min="6918" max="6918" width="18.125" style="589" customWidth="1"/>
    <col min="6919" max="6919" width="19" style="589" customWidth="1"/>
    <col min="6920" max="6920" width="20.5" style="589" customWidth="1"/>
    <col min="6921" max="6921" width="16" style="589" customWidth="1"/>
    <col min="6922" max="7168" width="9" style="589"/>
    <col min="7169" max="7169" width="4.875" style="589" customWidth="1"/>
    <col min="7170" max="7170" width="22.125" style="589" customWidth="1"/>
    <col min="7171" max="7171" width="19.25" style="589" customWidth="1"/>
    <col min="7172" max="7172" width="25.25" style="589" customWidth="1"/>
    <col min="7173" max="7173" width="19.375" style="589" customWidth="1"/>
    <col min="7174" max="7174" width="18.125" style="589" customWidth="1"/>
    <col min="7175" max="7175" width="19" style="589" customWidth="1"/>
    <col min="7176" max="7176" width="20.5" style="589" customWidth="1"/>
    <col min="7177" max="7177" width="16" style="589" customWidth="1"/>
    <col min="7178" max="7424" width="9" style="589"/>
    <col min="7425" max="7425" width="4.875" style="589" customWidth="1"/>
    <col min="7426" max="7426" width="22.125" style="589" customWidth="1"/>
    <col min="7427" max="7427" width="19.25" style="589" customWidth="1"/>
    <col min="7428" max="7428" width="25.25" style="589" customWidth="1"/>
    <col min="7429" max="7429" width="19.375" style="589" customWidth="1"/>
    <col min="7430" max="7430" width="18.125" style="589" customWidth="1"/>
    <col min="7431" max="7431" width="19" style="589" customWidth="1"/>
    <col min="7432" max="7432" width="20.5" style="589" customWidth="1"/>
    <col min="7433" max="7433" width="16" style="589" customWidth="1"/>
    <col min="7434" max="7680" width="9" style="589"/>
    <col min="7681" max="7681" width="4.875" style="589" customWidth="1"/>
    <col min="7682" max="7682" width="22.125" style="589" customWidth="1"/>
    <col min="7683" max="7683" width="19.25" style="589" customWidth="1"/>
    <col min="7684" max="7684" width="25.25" style="589" customWidth="1"/>
    <col min="7685" max="7685" width="19.375" style="589" customWidth="1"/>
    <col min="7686" max="7686" width="18.125" style="589" customWidth="1"/>
    <col min="7687" max="7687" width="19" style="589" customWidth="1"/>
    <col min="7688" max="7688" width="20.5" style="589" customWidth="1"/>
    <col min="7689" max="7689" width="16" style="589" customWidth="1"/>
    <col min="7690" max="7936" width="9" style="589"/>
    <col min="7937" max="7937" width="4.875" style="589" customWidth="1"/>
    <col min="7938" max="7938" width="22.125" style="589" customWidth="1"/>
    <col min="7939" max="7939" width="19.25" style="589" customWidth="1"/>
    <col min="7940" max="7940" width="25.25" style="589" customWidth="1"/>
    <col min="7941" max="7941" width="19.375" style="589" customWidth="1"/>
    <col min="7942" max="7942" width="18.125" style="589" customWidth="1"/>
    <col min="7943" max="7943" width="19" style="589" customWidth="1"/>
    <col min="7944" max="7944" width="20.5" style="589" customWidth="1"/>
    <col min="7945" max="7945" width="16" style="589" customWidth="1"/>
    <col min="7946" max="8192" width="9" style="589"/>
    <col min="8193" max="8193" width="4.875" style="589" customWidth="1"/>
    <col min="8194" max="8194" width="22.125" style="589" customWidth="1"/>
    <col min="8195" max="8195" width="19.25" style="589" customWidth="1"/>
    <col min="8196" max="8196" width="25.25" style="589" customWidth="1"/>
    <col min="8197" max="8197" width="19.375" style="589" customWidth="1"/>
    <col min="8198" max="8198" width="18.125" style="589" customWidth="1"/>
    <col min="8199" max="8199" width="19" style="589" customWidth="1"/>
    <col min="8200" max="8200" width="20.5" style="589" customWidth="1"/>
    <col min="8201" max="8201" width="16" style="589" customWidth="1"/>
    <col min="8202" max="8448" width="9" style="589"/>
    <col min="8449" max="8449" width="4.875" style="589" customWidth="1"/>
    <col min="8450" max="8450" width="22.125" style="589" customWidth="1"/>
    <col min="8451" max="8451" width="19.25" style="589" customWidth="1"/>
    <col min="8452" max="8452" width="25.25" style="589" customWidth="1"/>
    <col min="8453" max="8453" width="19.375" style="589" customWidth="1"/>
    <col min="8454" max="8454" width="18.125" style="589" customWidth="1"/>
    <col min="8455" max="8455" width="19" style="589" customWidth="1"/>
    <col min="8456" max="8456" width="20.5" style="589" customWidth="1"/>
    <col min="8457" max="8457" width="16" style="589" customWidth="1"/>
    <col min="8458" max="8704" width="9" style="589"/>
    <col min="8705" max="8705" width="4.875" style="589" customWidth="1"/>
    <col min="8706" max="8706" width="22.125" style="589" customWidth="1"/>
    <col min="8707" max="8707" width="19.25" style="589" customWidth="1"/>
    <col min="8708" max="8708" width="25.25" style="589" customWidth="1"/>
    <col min="8709" max="8709" width="19.375" style="589" customWidth="1"/>
    <col min="8710" max="8710" width="18.125" style="589" customWidth="1"/>
    <col min="8711" max="8711" width="19" style="589" customWidth="1"/>
    <col min="8712" max="8712" width="20.5" style="589" customWidth="1"/>
    <col min="8713" max="8713" width="16" style="589" customWidth="1"/>
    <col min="8714" max="8960" width="9" style="589"/>
    <col min="8961" max="8961" width="4.875" style="589" customWidth="1"/>
    <col min="8962" max="8962" width="22.125" style="589" customWidth="1"/>
    <col min="8963" max="8963" width="19.25" style="589" customWidth="1"/>
    <col min="8964" max="8964" width="25.25" style="589" customWidth="1"/>
    <col min="8965" max="8965" width="19.375" style="589" customWidth="1"/>
    <col min="8966" max="8966" width="18.125" style="589" customWidth="1"/>
    <col min="8967" max="8967" width="19" style="589" customWidth="1"/>
    <col min="8968" max="8968" width="20.5" style="589" customWidth="1"/>
    <col min="8969" max="8969" width="16" style="589" customWidth="1"/>
    <col min="8970" max="9216" width="9" style="589"/>
    <col min="9217" max="9217" width="4.875" style="589" customWidth="1"/>
    <col min="9218" max="9218" width="22.125" style="589" customWidth="1"/>
    <col min="9219" max="9219" width="19.25" style="589" customWidth="1"/>
    <col min="9220" max="9220" width="25.25" style="589" customWidth="1"/>
    <col min="9221" max="9221" width="19.375" style="589" customWidth="1"/>
    <col min="9222" max="9222" width="18.125" style="589" customWidth="1"/>
    <col min="9223" max="9223" width="19" style="589" customWidth="1"/>
    <col min="9224" max="9224" width="20.5" style="589" customWidth="1"/>
    <col min="9225" max="9225" width="16" style="589" customWidth="1"/>
    <col min="9226" max="9472" width="9" style="589"/>
    <col min="9473" max="9473" width="4.875" style="589" customWidth="1"/>
    <col min="9474" max="9474" width="22.125" style="589" customWidth="1"/>
    <col min="9475" max="9475" width="19.25" style="589" customWidth="1"/>
    <col min="9476" max="9476" width="25.25" style="589" customWidth="1"/>
    <col min="9477" max="9477" width="19.375" style="589" customWidth="1"/>
    <col min="9478" max="9478" width="18.125" style="589" customWidth="1"/>
    <col min="9479" max="9479" width="19" style="589" customWidth="1"/>
    <col min="9480" max="9480" width="20.5" style="589" customWidth="1"/>
    <col min="9481" max="9481" width="16" style="589" customWidth="1"/>
    <col min="9482" max="9728" width="9" style="589"/>
    <col min="9729" max="9729" width="4.875" style="589" customWidth="1"/>
    <col min="9730" max="9730" width="22.125" style="589" customWidth="1"/>
    <col min="9731" max="9731" width="19.25" style="589" customWidth="1"/>
    <col min="9732" max="9732" width="25.25" style="589" customWidth="1"/>
    <col min="9733" max="9733" width="19.375" style="589" customWidth="1"/>
    <col min="9734" max="9734" width="18.125" style="589" customWidth="1"/>
    <col min="9735" max="9735" width="19" style="589" customWidth="1"/>
    <col min="9736" max="9736" width="20.5" style="589" customWidth="1"/>
    <col min="9737" max="9737" width="16" style="589" customWidth="1"/>
    <col min="9738" max="9984" width="9" style="589"/>
    <col min="9985" max="9985" width="4.875" style="589" customWidth="1"/>
    <col min="9986" max="9986" width="22.125" style="589" customWidth="1"/>
    <col min="9987" max="9987" width="19.25" style="589" customWidth="1"/>
    <col min="9988" max="9988" width="25.25" style="589" customWidth="1"/>
    <col min="9989" max="9989" width="19.375" style="589" customWidth="1"/>
    <col min="9990" max="9990" width="18.125" style="589" customWidth="1"/>
    <col min="9991" max="9991" width="19" style="589" customWidth="1"/>
    <col min="9992" max="9992" width="20.5" style="589" customWidth="1"/>
    <col min="9993" max="9993" width="16" style="589" customWidth="1"/>
    <col min="9994" max="10240" width="9" style="589"/>
    <col min="10241" max="10241" width="4.875" style="589" customWidth="1"/>
    <col min="10242" max="10242" width="22.125" style="589" customWidth="1"/>
    <col min="10243" max="10243" width="19.25" style="589" customWidth="1"/>
    <col min="10244" max="10244" width="25.25" style="589" customWidth="1"/>
    <col min="10245" max="10245" width="19.375" style="589" customWidth="1"/>
    <col min="10246" max="10246" width="18.125" style="589" customWidth="1"/>
    <col min="10247" max="10247" width="19" style="589" customWidth="1"/>
    <col min="10248" max="10248" width="20.5" style="589" customWidth="1"/>
    <col min="10249" max="10249" width="16" style="589" customWidth="1"/>
    <col min="10250" max="10496" width="9" style="589"/>
    <col min="10497" max="10497" width="4.875" style="589" customWidth="1"/>
    <col min="10498" max="10498" width="22.125" style="589" customWidth="1"/>
    <col min="10499" max="10499" width="19.25" style="589" customWidth="1"/>
    <col min="10500" max="10500" width="25.25" style="589" customWidth="1"/>
    <col min="10501" max="10501" width="19.375" style="589" customWidth="1"/>
    <col min="10502" max="10502" width="18.125" style="589" customWidth="1"/>
    <col min="10503" max="10503" width="19" style="589" customWidth="1"/>
    <col min="10504" max="10504" width="20.5" style="589" customWidth="1"/>
    <col min="10505" max="10505" width="16" style="589" customWidth="1"/>
    <col min="10506" max="10752" width="9" style="589"/>
    <col min="10753" max="10753" width="4.875" style="589" customWidth="1"/>
    <col min="10754" max="10754" width="22.125" style="589" customWidth="1"/>
    <col min="10755" max="10755" width="19.25" style="589" customWidth="1"/>
    <col min="10756" max="10756" width="25.25" style="589" customWidth="1"/>
    <col min="10757" max="10757" width="19.375" style="589" customWidth="1"/>
    <col min="10758" max="10758" width="18.125" style="589" customWidth="1"/>
    <col min="10759" max="10759" width="19" style="589" customWidth="1"/>
    <col min="10760" max="10760" width="20.5" style="589" customWidth="1"/>
    <col min="10761" max="10761" width="16" style="589" customWidth="1"/>
    <col min="10762" max="11008" width="9" style="589"/>
    <col min="11009" max="11009" width="4.875" style="589" customWidth="1"/>
    <col min="11010" max="11010" width="22.125" style="589" customWidth="1"/>
    <col min="11011" max="11011" width="19.25" style="589" customWidth="1"/>
    <col min="11012" max="11012" width="25.25" style="589" customWidth="1"/>
    <col min="11013" max="11013" width="19.375" style="589" customWidth="1"/>
    <col min="11014" max="11014" width="18.125" style="589" customWidth="1"/>
    <col min="11015" max="11015" width="19" style="589" customWidth="1"/>
    <col min="11016" max="11016" width="20.5" style="589" customWidth="1"/>
    <col min="11017" max="11017" width="16" style="589" customWidth="1"/>
    <col min="11018" max="11264" width="9" style="589"/>
    <col min="11265" max="11265" width="4.875" style="589" customWidth="1"/>
    <col min="11266" max="11266" width="22.125" style="589" customWidth="1"/>
    <col min="11267" max="11267" width="19.25" style="589" customWidth="1"/>
    <col min="11268" max="11268" width="25.25" style="589" customWidth="1"/>
    <col min="11269" max="11269" width="19.375" style="589" customWidth="1"/>
    <col min="11270" max="11270" width="18.125" style="589" customWidth="1"/>
    <col min="11271" max="11271" width="19" style="589" customWidth="1"/>
    <col min="11272" max="11272" width="20.5" style="589" customWidth="1"/>
    <col min="11273" max="11273" width="16" style="589" customWidth="1"/>
    <col min="11274" max="11520" width="9" style="589"/>
    <col min="11521" max="11521" width="4.875" style="589" customWidth="1"/>
    <col min="11522" max="11522" width="22.125" style="589" customWidth="1"/>
    <col min="11523" max="11523" width="19.25" style="589" customWidth="1"/>
    <col min="11524" max="11524" width="25.25" style="589" customWidth="1"/>
    <col min="11525" max="11525" width="19.375" style="589" customWidth="1"/>
    <col min="11526" max="11526" width="18.125" style="589" customWidth="1"/>
    <col min="11527" max="11527" width="19" style="589" customWidth="1"/>
    <col min="11528" max="11528" width="20.5" style="589" customWidth="1"/>
    <col min="11529" max="11529" width="16" style="589" customWidth="1"/>
    <col min="11530" max="11776" width="9" style="589"/>
    <col min="11777" max="11777" width="4.875" style="589" customWidth="1"/>
    <col min="11778" max="11778" width="22.125" style="589" customWidth="1"/>
    <col min="11779" max="11779" width="19.25" style="589" customWidth="1"/>
    <col min="11780" max="11780" width="25.25" style="589" customWidth="1"/>
    <col min="11781" max="11781" width="19.375" style="589" customWidth="1"/>
    <col min="11782" max="11782" width="18.125" style="589" customWidth="1"/>
    <col min="11783" max="11783" width="19" style="589" customWidth="1"/>
    <col min="11784" max="11784" width="20.5" style="589" customWidth="1"/>
    <col min="11785" max="11785" width="16" style="589" customWidth="1"/>
    <col min="11786" max="12032" width="9" style="589"/>
    <col min="12033" max="12033" width="4.875" style="589" customWidth="1"/>
    <col min="12034" max="12034" width="22.125" style="589" customWidth="1"/>
    <col min="12035" max="12035" width="19.25" style="589" customWidth="1"/>
    <col min="12036" max="12036" width="25.25" style="589" customWidth="1"/>
    <col min="12037" max="12037" width="19.375" style="589" customWidth="1"/>
    <col min="12038" max="12038" width="18.125" style="589" customWidth="1"/>
    <col min="12039" max="12039" width="19" style="589" customWidth="1"/>
    <col min="12040" max="12040" width="20.5" style="589" customWidth="1"/>
    <col min="12041" max="12041" width="16" style="589" customWidth="1"/>
    <col min="12042" max="12288" width="9" style="589"/>
    <col min="12289" max="12289" width="4.875" style="589" customWidth="1"/>
    <col min="12290" max="12290" width="22.125" style="589" customWidth="1"/>
    <col min="12291" max="12291" width="19.25" style="589" customWidth="1"/>
    <col min="12292" max="12292" width="25.25" style="589" customWidth="1"/>
    <col min="12293" max="12293" width="19.375" style="589" customWidth="1"/>
    <col min="12294" max="12294" width="18.125" style="589" customWidth="1"/>
    <col min="12295" max="12295" width="19" style="589" customWidth="1"/>
    <col min="12296" max="12296" width="20.5" style="589" customWidth="1"/>
    <col min="12297" max="12297" width="16" style="589" customWidth="1"/>
    <col min="12298" max="12544" width="9" style="589"/>
    <col min="12545" max="12545" width="4.875" style="589" customWidth="1"/>
    <col min="12546" max="12546" width="22.125" style="589" customWidth="1"/>
    <col min="12547" max="12547" width="19.25" style="589" customWidth="1"/>
    <col min="12548" max="12548" width="25.25" style="589" customWidth="1"/>
    <col min="12549" max="12549" width="19.375" style="589" customWidth="1"/>
    <col min="12550" max="12550" width="18.125" style="589" customWidth="1"/>
    <col min="12551" max="12551" width="19" style="589" customWidth="1"/>
    <col min="12552" max="12552" width="20.5" style="589" customWidth="1"/>
    <col min="12553" max="12553" width="16" style="589" customWidth="1"/>
    <col min="12554" max="12800" width="9" style="589"/>
    <col min="12801" max="12801" width="4.875" style="589" customWidth="1"/>
    <col min="12802" max="12802" width="22.125" style="589" customWidth="1"/>
    <col min="12803" max="12803" width="19.25" style="589" customWidth="1"/>
    <col min="12804" max="12804" width="25.25" style="589" customWidth="1"/>
    <col min="12805" max="12805" width="19.375" style="589" customWidth="1"/>
    <col min="12806" max="12806" width="18.125" style="589" customWidth="1"/>
    <col min="12807" max="12807" width="19" style="589" customWidth="1"/>
    <col min="12808" max="12808" width="20.5" style="589" customWidth="1"/>
    <col min="12809" max="12809" width="16" style="589" customWidth="1"/>
    <col min="12810" max="13056" width="9" style="589"/>
    <col min="13057" max="13057" width="4.875" style="589" customWidth="1"/>
    <col min="13058" max="13058" width="22.125" style="589" customWidth="1"/>
    <col min="13059" max="13059" width="19.25" style="589" customWidth="1"/>
    <col min="13060" max="13060" width="25.25" style="589" customWidth="1"/>
    <col min="13061" max="13061" width="19.375" style="589" customWidth="1"/>
    <col min="13062" max="13062" width="18.125" style="589" customWidth="1"/>
    <col min="13063" max="13063" width="19" style="589" customWidth="1"/>
    <col min="13064" max="13064" width="20.5" style="589" customWidth="1"/>
    <col min="13065" max="13065" width="16" style="589" customWidth="1"/>
    <col min="13066" max="13312" width="9" style="589"/>
    <col min="13313" max="13313" width="4.875" style="589" customWidth="1"/>
    <col min="13314" max="13314" width="22.125" style="589" customWidth="1"/>
    <col min="13315" max="13315" width="19.25" style="589" customWidth="1"/>
    <col min="13316" max="13316" width="25.25" style="589" customWidth="1"/>
    <col min="13317" max="13317" width="19.375" style="589" customWidth="1"/>
    <col min="13318" max="13318" width="18.125" style="589" customWidth="1"/>
    <col min="13319" max="13319" width="19" style="589" customWidth="1"/>
    <col min="13320" max="13320" width="20.5" style="589" customWidth="1"/>
    <col min="13321" max="13321" width="16" style="589" customWidth="1"/>
    <col min="13322" max="13568" width="9" style="589"/>
    <col min="13569" max="13569" width="4.875" style="589" customWidth="1"/>
    <col min="13570" max="13570" width="22.125" style="589" customWidth="1"/>
    <col min="13571" max="13571" width="19.25" style="589" customWidth="1"/>
    <col min="13572" max="13572" width="25.25" style="589" customWidth="1"/>
    <col min="13573" max="13573" width="19.375" style="589" customWidth="1"/>
    <col min="13574" max="13574" width="18.125" style="589" customWidth="1"/>
    <col min="13575" max="13575" width="19" style="589" customWidth="1"/>
    <col min="13576" max="13576" width="20.5" style="589" customWidth="1"/>
    <col min="13577" max="13577" width="16" style="589" customWidth="1"/>
    <col min="13578" max="13824" width="9" style="589"/>
    <col min="13825" max="13825" width="4.875" style="589" customWidth="1"/>
    <col min="13826" max="13826" width="22.125" style="589" customWidth="1"/>
    <col min="13827" max="13827" width="19.25" style="589" customWidth="1"/>
    <col min="13828" max="13828" width="25.25" style="589" customWidth="1"/>
    <col min="13829" max="13829" width="19.375" style="589" customWidth="1"/>
    <col min="13830" max="13830" width="18.125" style="589" customWidth="1"/>
    <col min="13831" max="13831" width="19" style="589" customWidth="1"/>
    <col min="13832" max="13832" width="20.5" style="589" customWidth="1"/>
    <col min="13833" max="13833" width="16" style="589" customWidth="1"/>
    <col min="13834" max="14080" width="9" style="589"/>
    <col min="14081" max="14081" width="4.875" style="589" customWidth="1"/>
    <col min="14082" max="14082" width="22.125" style="589" customWidth="1"/>
    <col min="14083" max="14083" width="19.25" style="589" customWidth="1"/>
    <col min="14084" max="14084" width="25.25" style="589" customWidth="1"/>
    <col min="14085" max="14085" width="19.375" style="589" customWidth="1"/>
    <col min="14086" max="14086" width="18.125" style="589" customWidth="1"/>
    <col min="14087" max="14087" width="19" style="589" customWidth="1"/>
    <col min="14088" max="14088" width="20.5" style="589" customWidth="1"/>
    <col min="14089" max="14089" width="16" style="589" customWidth="1"/>
    <col min="14090" max="14336" width="9" style="589"/>
    <col min="14337" max="14337" width="4.875" style="589" customWidth="1"/>
    <col min="14338" max="14338" width="22.125" style="589" customWidth="1"/>
    <col min="14339" max="14339" width="19.25" style="589" customWidth="1"/>
    <col min="14340" max="14340" width="25.25" style="589" customWidth="1"/>
    <col min="14341" max="14341" width="19.375" style="589" customWidth="1"/>
    <col min="14342" max="14342" width="18.125" style="589" customWidth="1"/>
    <col min="14343" max="14343" width="19" style="589" customWidth="1"/>
    <col min="14344" max="14344" width="20.5" style="589" customWidth="1"/>
    <col min="14345" max="14345" width="16" style="589" customWidth="1"/>
    <col min="14346" max="14592" width="9" style="589"/>
    <col min="14593" max="14593" width="4.875" style="589" customWidth="1"/>
    <col min="14594" max="14594" width="22.125" style="589" customWidth="1"/>
    <col min="14595" max="14595" width="19.25" style="589" customWidth="1"/>
    <col min="14596" max="14596" width="25.25" style="589" customWidth="1"/>
    <col min="14597" max="14597" width="19.375" style="589" customWidth="1"/>
    <col min="14598" max="14598" width="18.125" style="589" customWidth="1"/>
    <col min="14599" max="14599" width="19" style="589" customWidth="1"/>
    <col min="14600" max="14600" width="20.5" style="589" customWidth="1"/>
    <col min="14601" max="14601" width="16" style="589" customWidth="1"/>
    <col min="14602" max="14848" width="9" style="589"/>
    <col min="14849" max="14849" width="4.875" style="589" customWidth="1"/>
    <col min="14850" max="14850" width="22.125" style="589" customWidth="1"/>
    <col min="14851" max="14851" width="19.25" style="589" customWidth="1"/>
    <col min="14852" max="14852" width="25.25" style="589" customWidth="1"/>
    <col min="14853" max="14853" width="19.375" style="589" customWidth="1"/>
    <col min="14854" max="14854" width="18.125" style="589" customWidth="1"/>
    <col min="14855" max="14855" width="19" style="589" customWidth="1"/>
    <col min="14856" max="14856" width="20.5" style="589" customWidth="1"/>
    <col min="14857" max="14857" width="16" style="589" customWidth="1"/>
    <col min="14858" max="15104" width="9" style="589"/>
    <col min="15105" max="15105" width="4.875" style="589" customWidth="1"/>
    <col min="15106" max="15106" width="22.125" style="589" customWidth="1"/>
    <col min="15107" max="15107" width="19.25" style="589" customWidth="1"/>
    <col min="15108" max="15108" width="25.25" style="589" customWidth="1"/>
    <col min="15109" max="15109" width="19.375" style="589" customWidth="1"/>
    <col min="15110" max="15110" width="18.125" style="589" customWidth="1"/>
    <col min="15111" max="15111" width="19" style="589" customWidth="1"/>
    <col min="15112" max="15112" width="20.5" style="589" customWidth="1"/>
    <col min="15113" max="15113" width="16" style="589" customWidth="1"/>
    <col min="15114" max="15360" width="9" style="589"/>
    <col min="15361" max="15361" width="4.875" style="589" customWidth="1"/>
    <col min="15362" max="15362" width="22.125" style="589" customWidth="1"/>
    <col min="15363" max="15363" width="19.25" style="589" customWidth="1"/>
    <col min="15364" max="15364" width="25.25" style="589" customWidth="1"/>
    <col min="15365" max="15365" width="19.375" style="589" customWidth="1"/>
    <col min="15366" max="15366" width="18.125" style="589" customWidth="1"/>
    <col min="15367" max="15367" width="19" style="589" customWidth="1"/>
    <col min="15368" max="15368" width="20.5" style="589" customWidth="1"/>
    <col min="15369" max="15369" width="16" style="589" customWidth="1"/>
    <col min="15370" max="15616" width="9" style="589"/>
    <col min="15617" max="15617" width="4.875" style="589" customWidth="1"/>
    <col min="15618" max="15618" width="22.125" style="589" customWidth="1"/>
    <col min="15619" max="15619" width="19.25" style="589" customWidth="1"/>
    <col min="15620" max="15620" width="25.25" style="589" customWidth="1"/>
    <col min="15621" max="15621" width="19.375" style="589" customWidth="1"/>
    <col min="15622" max="15622" width="18.125" style="589" customWidth="1"/>
    <col min="15623" max="15623" width="19" style="589" customWidth="1"/>
    <col min="15624" max="15624" width="20.5" style="589" customWidth="1"/>
    <col min="15625" max="15625" width="16" style="589" customWidth="1"/>
    <col min="15626" max="15872" width="9" style="589"/>
    <col min="15873" max="15873" width="4.875" style="589" customWidth="1"/>
    <col min="15874" max="15874" width="22.125" style="589" customWidth="1"/>
    <col min="15875" max="15875" width="19.25" style="589" customWidth="1"/>
    <col min="15876" max="15876" width="25.25" style="589" customWidth="1"/>
    <col min="15877" max="15877" width="19.375" style="589" customWidth="1"/>
    <col min="15878" max="15878" width="18.125" style="589" customWidth="1"/>
    <col min="15879" max="15879" width="19" style="589" customWidth="1"/>
    <col min="15880" max="15880" width="20.5" style="589" customWidth="1"/>
    <col min="15881" max="15881" width="16" style="589" customWidth="1"/>
    <col min="15882" max="16128" width="9" style="589"/>
    <col min="16129" max="16129" width="4.875" style="589" customWidth="1"/>
    <col min="16130" max="16130" width="22.125" style="589" customWidth="1"/>
    <col min="16131" max="16131" width="19.25" style="589" customWidth="1"/>
    <col min="16132" max="16132" width="25.25" style="589" customWidth="1"/>
    <col min="16133" max="16133" width="19.375" style="589" customWidth="1"/>
    <col min="16134" max="16134" width="18.125" style="589" customWidth="1"/>
    <col min="16135" max="16135" width="19" style="589" customWidth="1"/>
    <col min="16136" max="16136" width="20.5" style="589" customWidth="1"/>
    <col min="16137" max="16137" width="16" style="589" customWidth="1"/>
    <col min="16138" max="16384" width="9" style="589"/>
  </cols>
  <sheetData>
    <row r="1" spans="1:10" s="583" customFormat="1" ht="16.5">
      <c r="B1" s="964" t="s">
        <v>334</v>
      </c>
      <c r="C1" s="964"/>
      <c r="D1" s="964"/>
      <c r="E1" s="964"/>
    </row>
    <row r="2" spans="1:10" s="583" customFormat="1" ht="16.5">
      <c r="B2" s="964"/>
      <c r="C2" s="964"/>
      <c r="D2" s="964"/>
      <c r="E2" s="964"/>
    </row>
    <row r="3" spans="1:10" s="583" customFormat="1" ht="28.5" customHeight="1">
      <c r="B3" s="965"/>
      <c r="C3" s="965"/>
      <c r="D3" s="965"/>
      <c r="E3" s="965"/>
      <c r="F3" s="584"/>
      <c r="G3" s="584"/>
      <c r="H3" s="584"/>
      <c r="I3" s="584"/>
    </row>
    <row r="4" spans="1:10" ht="24.95" customHeight="1">
      <c r="A4" s="585"/>
      <c r="B4" s="586"/>
      <c r="C4" s="966" t="s">
        <v>833</v>
      </c>
      <c r="D4" s="967"/>
      <c r="E4" s="587" t="s">
        <v>120</v>
      </c>
      <c r="F4" s="587" t="s">
        <v>426</v>
      </c>
      <c r="G4" s="966" t="s">
        <v>333</v>
      </c>
      <c r="H4" s="968"/>
      <c r="I4" s="967"/>
      <c r="J4" s="588"/>
    </row>
    <row r="5" spans="1:10" ht="24.95" customHeight="1">
      <c r="A5" s="585"/>
      <c r="B5" s="590" t="s">
        <v>332</v>
      </c>
      <c r="C5" s="591" t="s">
        <v>330</v>
      </c>
      <c r="D5" s="592" t="s">
        <v>834</v>
      </c>
      <c r="E5" s="592" t="s">
        <v>835</v>
      </c>
      <c r="F5" s="592"/>
      <c r="G5" s="592" t="s">
        <v>836</v>
      </c>
      <c r="H5" s="593"/>
      <c r="I5" s="593"/>
      <c r="J5" s="588"/>
    </row>
    <row r="6" spans="1:10" ht="24.95" customHeight="1">
      <c r="A6" s="585"/>
      <c r="B6" s="593" t="s">
        <v>837</v>
      </c>
      <c r="C6" s="314" t="str">
        <f>IF(项目度量分析计划!E22=模型!C22,"Y","N")</f>
        <v>Y</v>
      </c>
      <c r="D6" s="317"/>
      <c r="E6" s="314" t="str">
        <f>IF(项目度量分析计划!E24=模型!G22,"Y","N")</f>
        <v>Y</v>
      </c>
      <c r="F6" s="314"/>
      <c r="G6" s="314"/>
      <c r="H6" s="314"/>
      <c r="I6" s="314"/>
      <c r="J6" s="588"/>
    </row>
    <row r="7" spans="1:10" ht="24.95" customHeight="1">
      <c r="A7" s="585"/>
      <c r="B7" s="593" t="s">
        <v>838</v>
      </c>
      <c r="C7" s="314" t="str">
        <f>IF(项目度量分析计划!E23=模型!C23,"Y","N")</f>
        <v>Y</v>
      </c>
      <c r="D7" s="317"/>
      <c r="E7" s="314" t="str">
        <f>IF(项目度量分析计划!E25=模型!G23,"Y","N")</f>
        <v>Y</v>
      </c>
      <c r="F7" s="314"/>
      <c r="G7" s="314"/>
      <c r="H7" s="314"/>
      <c r="I7" s="314"/>
      <c r="J7" s="588"/>
    </row>
    <row r="8" spans="1:10" ht="9.9499999999999993" customHeight="1">
      <c r="A8" s="585"/>
      <c r="B8" s="961"/>
      <c r="C8" s="962"/>
      <c r="D8" s="962"/>
      <c r="E8" s="962"/>
      <c r="F8" s="962"/>
      <c r="G8" s="962"/>
      <c r="H8" s="962"/>
      <c r="I8" s="963"/>
      <c r="J8" s="588"/>
    </row>
    <row r="9" spans="1:10" ht="24.95" customHeight="1">
      <c r="A9" s="585"/>
      <c r="B9" s="590" t="s">
        <v>839</v>
      </c>
      <c r="C9" s="592" t="s">
        <v>840</v>
      </c>
      <c r="D9" s="592" t="s">
        <v>841</v>
      </c>
      <c r="E9" s="592" t="s">
        <v>835</v>
      </c>
      <c r="F9" s="592"/>
      <c r="G9" s="592" t="s">
        <v>842</v>
      </c>
      <c r="H9" s="592"/>
      <c r="I9" s="592"/>
      <c r="J9" s="588"/>
    </row>
    <row r="10" spans="1:10" ht="24.95" customHeight="1">
      <c r="A10" s="585"/>
      <c r="B10" s="593" t="s">
        <v>843</v>
      </c>
      <c r="C10" s="314" t="str">
        <f>IF(项目度量分析计划!E29=模型!C26,"Y","N")</f>
        <v>Y</v>
      </c>
      <c r="D10" s="314" t="str">
        <f>IF(项目度量分析计划!E30=模型!E26,"Y","N")</f>
        <v>Y</v>
      </c>
      <c r="E10" s="314" t="str">
        <f>IF(项目度量分析计划!E31=模型!G26,"Y","N")</f>
        <v>Y</v>
      </c>
      <c r="F10" s="314"/>
      <c r="G10" s="314"/>
      <c r="H10" s="314"/>
      <c r="I10" s="314"/>
      <c r="J10" s="588"/>
    </row>
    <row r="11" spans="1:10" ht="24.95" customHeight="1">
      <c r="A11" s="585"/>
      <c r="B11" s="593" t="s">
        <v>844</v>
      </c>
      <c r="C11" s="314" t="str">
        <f>IF(项目度量分析计划!E33=模型!C27,"Y","N")</f>
        <v>Y</v>
      </c>
      <c r="D11" s="314" t="str">
        <f>IF(项目度量分析计划!E34=模型!E27,"Y","N")</f>
        <v>Y</v>
      </c>
      <c r="E11" s="314" t="str">
        <f>IF(项目度量分析计划!E35=模型!G27,"Y","N")</f>
        <v>Y</v>
      </c>
      <c r="F11" s="314"/>
      <c r="G11" s="314"/>
      <c r="H11" s="314"/>
      <c r="I11" s="314"/>
      <c r="J11" s="588"/>
    </row>
    <row r="12" spans="1:10" ht="24.95" customHeight="1">
      <c r="A12" s="585"/>
      <c r="B12" s="593" t="s">
        <v>845</v>
      </c>
      <c r="C12" s="314" t="str">
        <f>IF(项目度量分析计划!E37=模型!C28,"Y","N")</f>
        <v>Y</v>
      </c>
      <c r="D12" s="314" t="str">
        <f>IF(项目度量分析计划!E38=模型!E28,"Y","N")</f>
        <v>Y</v>
      </c>
      <c r="E12" s="314" t="str">
        <f>IF(项目度量分析计划!E39=模型!G28,"Y","N")</f>
        <v>Y</v>
      </c>
      <c r="F12" s="314"/>
      <c r="G12" s="314"/>
      <c r="H12" s="314"/>
      <c r="I12" s="314"/>
      <c r="J12" s="588"/>
    </row>
    <row r="13" spans="1:10" ht="9.9499999999999993" customHeight="1">
      <c r="A13" s="585"/>
      <c r="B13" s="961"/>
      <c r="C13" s="962"/>
      <c r="D13" s="962"/>
      <c r="E13" s="962"/>
      <c r="F13" s="962"/>
      <c r="G13" s="962"/>
      <c r="H13" s="962"/>
      <c r="I13" s="963"/>
      <c r="J13" s="588"/>
    </row>
    <row r="14" spans="1:10" ht="24.95" customHeight="1">
      <c r="A14" s="585"/>
      <c r="B14" s="590" t="s">
        <v>846</v>
      </c>
      <c r="C14" s="592" t="s">
        <v>847</v>
      </c>
      <c r="D14" s="592" t="s">
        <v>848</v>
      </c>
      <c r="E14" s="592" t="s">
        <v>849</v>
      </c>
      <c r="F14" s="592"/>
      <c r="G14" s="592" t="s">
        <v>850</v>
      </c>
      <c r="H14" s="592"/>
      <c r="I14" s="592"/>
      <c r="J14" s="588"/>
    </row>
    <row r="15" spans="1:10" ht="24.95" customHeight="1">
      <c r="A15" s="585"/>
      <c r="B15" s="593" t="s">
        <v>851</v>
      </c>
      <c r="C15" s="314" t="str">
        <f>IF(项目度量分析计划!E42=模型!C31,"Y","N")</f>
        <v>Y</v>
      </c>
      <c r="D15" s="314" t="str">
        <f>IF(项目度量分析计划!E43=模型!E31,"Y","N")</f>
        <v>Y</v>
      </c>
      <c r="E15" s="314" t="str">
        <f>IF(项目度量分析计划!E44=模型!G31,"Y","N")</f>
        <v>Y</v>
      </c>
      <c r="F15" s="314"/>
      <c r="G15" s="314" t="str">
        <f>IF(项目度量分析计划!E46=模型!K31,"Y","N")</f>
        <v>Y</v>
      </c>
      <c r="H15" s="314"/>
      <c r="I15" s="314"/>
      <c r="J15" s="588"/>
    </row>
    <row r="16" spans="1:10" ht="24.95" customHeight="1">
      <c r="A16" s="585"/>
      <c r="B16" s="593" t="s">
        <v>852</v>
      </c>
      <c r="C16" s="314" t="str">
        <f>IF(项目度量分析计划!E47=模型!C32,"Y","N")</f>
        <v>Y</v>
      </c>
      <c r="D16" s="314" t="str">
        <f>IF(项目度量分析计划!E48=模型!E32,"Y","N")</f>
        <v>Y</v>
      </c>
      <c r="E16" s="314" t="str">
        <f>IF(项目度量分析计划!E49=模型!G32,"Y","N")</f>
        <v>Y</v>
      </c>
      <c r="F16" s="314"/>
      <c r="G16" s="314" t="str">
        <f>IF(项目度量分析计划!E51=模型!K32,"Y","N")</f>
        <v>Y</v>
      </c>
      <c r="H16" s="314"/>
      <c r="I16" s="314"/>
      <c r="J16" s="588"/>
    </row>
    <row r="17" spans="1:10" ht="24.95" customHeight="1">
      <c r="A17" s="585"/>
      <c r="B17" s="593" t="s">
        <v>853</v>
      </c>
      <c r="C17" s="314" t="str">
        <f>IF(项目度量分析计划!E52=模型!C33,"Y","N")</f>
        <v>Y</v>
      </c>
      <c r="D17" s="314" t="str">
        <f>IF(项目度量分析计划!E53=模型!E33,"Y","N")</f>
        <v>Y</v>
      </c>
      <c r="E17" s="314" t="str">
        <f>IF(项目度量分析计划!E54=模型!G33,"Y","N")</f>
        <v>Y</v>
      </c>
      <c r="F17" s="314"/>
      <c r="G17" s="314" t="str">
        <f>IF(项目度量分析计划!E55=模型!K33,"Y","N")</f>
        <v>Y</v>
      </c>
      <c r="H17" s="314"/>
      <c r="I17" s="314"/>
      <c r="J17" s="588"/>
    </row>
    <row r="18" spans="1:10" ht="9.9499999999999993" customHeight="1">
      <c r="A18" s="585"/>
      <c r="B18" s="961"/>
      <c r="C18" s="962"/>
      <c r="D18" s="962"/>
      <c r="E18" s="962"/>
      <c r="F18" s="962"/>
      <c r="G18" s="962"/>
      <c r="H18" s="962"/>
      <c r="I18" s="963"/>
      <c r="J18" s="588"/>
    </row>
    <row r="19" spans="1:10" ht="24.95" customHeight="1">
      <c r="A19" s="585"/>
      <c r="B19" s="590" t="s">
        <v>854</v>
      </c>
      <c r="C19" s="592" t="s">
        <v>847</v>
      </c>
      <c r="D19" s="592" t="s">
        <v>848</v>
      </c>
      <c r="E19" s="592" t="s">
        <v>849</v>
      </c>
      <c r="F19" s="592" t="s">
        <v>855</v>
      </c>
      <c r="G19" s="592" t="s">
        <v>856</v>
      </c>
      <c r="H19" s="592" t="s">
        <v>857</v>
      </c>
      <c r="I19" s="592" t="s">
        <v>858</v>
      </c>
      <c r="J19" s="588"/>
    </row>
    <row r="20" spans="1:10" ht="24.95" customHeight="1">
      <c r="A20" s="585"/>
      <c r="B20" s="593" t="s">
        <v>859</v>
      </c>
      <c r="C20" s="314" t="str">
        <f>IF(项目度量分析计划!E61=模型!C36,"Y","N")</f>
        <v>Y</v>
      </c>
      <c r="D20" s="314" t="str">
        <f>IF(项目度量分析计划!E62=模型!E36,"Y","N")</f>
        <v>Y</v>
      </c>
      <c r="E20" s="314" t="str">
        <f>IF(项目度量分析计划!E63=模型!G36,"Y","N")</f>
        <v>Y</v>
      </c>
      <c r="F20" s="314" t="str">
        <f>IF(项目度量分析计划!E64=模型!I36,"Y","N")</f>
        <v>Y</v>
      </c>
      <c r="G20" s="314" t="str">
        <f>IF(项目度量分析计划!E57=模型!K36,"Y","N")</f>
        <v>Y</v>
      </c>
      <c r="H20" s="314" t="str">
        <f>IF(项目度量分析计划!E65=模型!M36,"Y","N")</f>
        <v>Y</v>
      </c>
      <c r="I20" s="316" t="str">
        <f>IF(项目度量分析计划!E66=模型!O36,"Y","N")</f>
        <v>Y</v>
      </c>
      <c r="J20" s="588"/>
    </row>
    <row r="21" spans="1:10" ht="24.95" customHeight="1">
      <c r="A21" s="585"/>
      <c r="B21" s="593" t="s">
        <v>860</v>
      </c>
      <c r="C21" s="314" t="str">
        <f>IF(项目度量分析计划!E67=模型!C37,"Y","N")</f>
        <v>Y</v>
      </c>
      <c r="D21" s="314" t="str">
        <f>IF(项目度量分析计划!E68=模型!E37,"Y","N")</f>
        <v>Y</v>
      </c>
      <c r="E21" s="314" t="str">
        <f>IF(项目度量分析计划!E69=模型!G37,"Y","N")</f>
        <v>Y</v>
      </c>
      <c r="F21" s="314" t="str">
        <f>IF(项目度量分析计划!E70=模型!I37,"Y","N")</f>
        <v>Y</v>
      </c>
      <c r="G21" s="314" t="str">
        <f>IF(项目度量分析计划!E58=模型!K37,"Y","N")</f>
        <v>Y</v>
      </c>
      <c r="H21" s="314" t="str">
        <f>IF(项目度量分析计划!E71=模型!M37,"Y","N")</f>
        <v>Y</v>
      </c>
      <c r="I21" s="316" t="str">
        <f>IF(项目度量分析计划!E72=模型!O37,"Y","N")</f>
        <v>Y</v>
      </c>
      <c r="J21" s="588"/>
    </row>
    <row r="22" spans="1:10" ht="9.9499999999999993" customHeight="1">
      <c r="A22" s="585"/>
      <c r="B22" s="961"/>
      <c r="C22" s="962"/>
      <c r="D22" s="962"/>
      <c r="E22" s="962"/>
      <c r="F22" s="962"/>
      <c r="G22" s="962"/>
      <c r="H22" s="962"/>
      <c r="I22" s="963"/>
      <c r="J22" s="588"/>
    </row>
    <row r="23" spans="1:10" ht="24.95" customHeight="1">
      <c r="A23" s="585"/>
      <c r="B23" s="590" t="s">
        <v>861</v>
      </c>
      <c r="C23" s="592" t="s">
        <v>840</v>
      </c>
      <c r="D23" s="592" t="s">
        <v>841</v>
      </c>
      <c r="E23" s="592" t="s">
        <v>835</v>
      </c>
      <c r="F23" s="592" t="s">
        <v>862</v>
      </c>
      <c r="G23" s="592" t="s">
        <v>863</v>
      </c>
      <c r="H23" s="592" t="s">
        <v>864</v>
      </c>
      <c r="I23" s="592"/>
      <c r="J23" s="588"/>
    </row>
    <row r="24" spans="1:10" ht="24.95" customHeight="1">
      <c r="A24" s="585"/>
      <c r="B24" s="593" t="s">
        <v>865</v>
      </c>
      <c r="C24" s="314" t="str">
        <f>IF(项目度量分析计划!E74=模型!C40,"Y","N")</f>
        <v>Y</v>
      </c>
      <c r="D24" s="314" t="str">
        <f>IF(项目度量分析计划!E75=模型!E40,"Y","N")</f>
        <v>Y</v>
      </c>
      <c r="E24" s="314" t="str">
        <f>IF(项目度量分析计划!E76=模型!G40,"Y","N")</f>
        <v>Y</v>
      </c>
      <c r="F24" s="314" t="str">
        <f>IF(项目度量分析计划!E77=模型!I40,"Y","N")</f>
        <v>Y</v>
      </c>
      <c r="G24" s="314" t="str">
        <f>IF(项目度量分析计划!E78=模型!K40,"Y","N")</f>
        <v>Y</v>
      </c>
      <c r="H24" s="315" t="str">
        <f>IF(项目度量分析计划!E84=模型!M40,"Y","N")</f>
        <v>Y</v>
      </c>
      <c r="I24" s="314"/>
      <c r="J24" s="594"/>
    </row>
    <row r="25" spans="1:10" ht="24.95" customHeight="1">
      <c r="A25" s="585"/>
      <c r="B25" s="593" t="s">
        <v>329</v>
      </c>
      <c r="C25" s="314" t="str">
        <f>IF(项目度量分析计划!E79=模型!C41,"Y","N")</f>
        <v>Y</v>
      </c>
      <c r="D25" s="314" t="str">
        <f>IF(项目度量分析计划!E80=模型!E41,"Y","N")</f>
        <v>Y</v>
      </c>
      <c r="E25" s="314" t="str">
        <f>IF(项目度量分析计划!E81=模型!G41,"Y","N")</f>
        <v>Y</v>
      </c>
      <c r="F25" s="314" t="str">
        <f>IF(项目度量分析计划!E82=模型!I41,"Y","N")</f>
        <v>Y</v>
      </c>
      <c r="G25" s="314" t="str">
        <f>IF(项目度量分析计划!E83=模型!K41,"Y","N")</f>
        <v>Y</v>
      </c>
      <c r="H25" s="314" t="str">
        <f>IF(项目度量分析计划!E84=模型!M41,"Y","N")</f>
        <v>Y</v>
      </c>
      <c r="I25" s="314"/>
      <c r="J25" s="594"/>
    </row>
    <row r="26" spans="1:10">
      <c r="B26" s="595"/>
      <c r="C26" s="596"/>
      <c r="D26" s="596"/>
      <c r="E26" s="596"/>
      <c r="F26" s="595"/>
      <c r="G26" s="595"/>
      <c r="H26" s="595"/>
      <c r="I26" s="595"/>
    </row>
  </sheetData>
  <mergeCells count="7">
    <mergeCell ref="B22:I22"/>
    <mergeCell ref="B1:E3"/>
    <mergeCell ref="C4:D4"/>
    <mergeCell ref="G4:I4"/>
    <mergeCell ref="B8:I8"/>
    <mergeCell ref="B13:I13"/>
    <mergeCell ref="B18:I18"/>
  </mergeCells>
  <phoneticPr fontId="4" type="noConversion"/>
  <conditionalFormatting sqref="C6:C7">
    <cfRule type="cellIs" dxfId="17" priority="18" stopIfTrue="1" operator="equal">
      <formula>"N"</formula>
    </cfRule>
    <cfRule type="dataBar" priority="19">
      <dataBar>
        <cfvo type="min"/>
        <cfvo type="max"/>
        <color rgb="FF638EC6"/>
      </dataBar>
      <extLst>
        <ext xmlns:x14="http://schemas.microsoft.com/office/spreadsheetml/2009/9/main" uri="{B025F937-C7B1-47D3-B67F-A62EFF666E3E}">
          <x14:id>{A61B6A98-73E9-4497-9F91-A02991CD68BB}</x14:id>
        </ext>
      </extLst>
    </cfRule>
    <cfRule type="colorScale" priority="20">
      <colorScale>
        <cfvo type="min"/>
        <cfvo type="percentile" val="50"/>
        <cfvo type="max"/>
        <color rgb="FFF8696B"/>
        <color rgb="FFFFEB84"/>
        <color rgb="FF63BE7B"/>
      </colorScale>
    </cfRule>
  </conditionalFormatting>
  <conditionalFormatting sqref="C7">
    <cfRule type="cellIs" dxfId="16" priority="17" stopIfTrue="1" operator="equal">
      <formula>"Y"</formula>
    </cfRule>
  </conditionalFormatting>
  <conditionalFormatting sqref="C6:C7">
    <cfRule type="cellIs" dxfId="15" priority="14" stopIfTrue="1" operator="equal">
      <formula>"Y"</formula>
    </cfRule>
    <cfRule type="cellIs" dxfId="14" priority="15" stopIfTrue="1" operator="equal">
      <formula>"N"</formula>
    </cfRule>
    <cfRule type="cellIs" dxfId="13" priority="16" stopIfTrue="1" operator="equal">
      <formula>"N"</formula>
    </cfRule>
  </conditionalFormatting>
  <conditionalFormatting sqref="E6:E7">
    <cfRule type="cellIs" dxfId="12" priority="12" stopIfTrue="1" operator="equal">
      <formula>"Y"</formula>
    </cfRule>
    <cfRule type="cellIs" dxfId="11" priority="13" stopIfTrue="1" operator="equal">
      <formula>"N"</formula>
    </cfRule>
  </conditionalFormatting>
  <conditionalFormatting sqref="C10:G12">
    <cfRule type="cellIs" dxfId="10" priority="10" stopIfTrue="1" operator="equal">
      <formula>"Y"</formula>
    </cfRule>
    <cfRule type="cellIs" dxfId="9" priority="11" stopIfTrue="1" operator="equal">
      <formula>"N"</formula>
    </cfRule>
  </conditionalFormatting>
  <conditionalFormatting sqref="C15:G17">
    <cfRule type="cellIs" dxfId="8" priority="8" stopIfTrue="1" operator="equal">
      <formula>"N"</formula>
    </cfRule>
    <cfRule type="cellIs" dxfId="7" priority="9" stopIfTrue="1" operator="equal">
      <formula>"Y"</formula>
    </cfRule>
  </conditionalFormatting>
  <conditionalFormatting sqref="C6:F7">
    <cfRule type="cellIs" dxfId="6" priority="7" stopIfTrue="1" operator="equal">
      <formula>"Y"</formula>
    </cfRule>
  </conditionalFormatting>
  <conditionalFormatting sqref="C20:I21">
    <cfRule type="cellIs" dxfId="5" priority="5" stopIfTrue="1" operator="equal">
      <formula>"N"</formula>
    </cfRule>
    <cfRule type="cellIs" dxfId="4" priority="6" stopIfTrue="1" operator="equal">
      <formula>"Y"</formula>
    </cfRule>
  </conditionalFormatting>
  <conditionalFormatting sqref="C24:I25">
    <cfRule type="cellIs" dxfId="3" priority="3" stopIfTrue="1" operator="equal">
      <formula>"Y"</formula>
    </cfRule>
    <cfRule type="cellIs" dxfId="2" priority="4" stopIfTrue="1" operator="equal">
      <formula>"N"</formula>
    </cfRule>
  </conditionalFormatting>
  <conditionalFormatting sqref="G6:G7">
    <cfRule type="cellIs" dxfId="1" priority="1" stopIfTrue="1" operator="equal">
      <formula>"Y"</formula>
    </cfRule>
    <cfRule type="cellIs" dxfId="0" priority="2" stopIfTrue="1" operator="equal">
      <formula>"N"</formula>
    </cfRule>
  </conditionalFormatting>
  <pageMargins left="0.7" right="0.7" top="0.75" bottom="0.75" header="0.3" footer="0.3"/>
  <pageSetup paperSize="0" orientation="portrait" horizontalDpi="0" verticalDpi="0" copies="0"/>
  <extLst>
    <ext xmlns:x14="http://schemas.microsoft.com/office/spreadsheetml/2009/9/main" uri="{78C0D931-6437-407d-A8EE-F0AAD7539E65}">
      <x14:conditionalFormattings>
        <x14:conditionalFormatting xmlns:xm="http://schemas.microsoft.com/office/excel/2006/main">
          <x14:cfRule type="dataBar" id="{A61B6A98-73E9-4497-9F91-A02991CD68BB}">
            <x14:dataBar minLength="0" maxLength="100" negativeBarColorSameAsPositive="1" axisPosition="none">
              <x14:cfvo type="min"/>
              <x14:cfvo type="max"/>
            </x14:dataBar>
          </x14:cfRule>
          <xm:sqref>C6:C7</xm:sqref>
        </x14:conditionalFormatting>
      </x14:conditionalFormattings>
    </ext>
  </extLst>
</worksheet>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17</vt:i4>
      </vt:variant>
      <vt:variant>
        <vt:lpstr>命名范围</vt:lpstr>
      </vt:variant>
      <vt:variant>
        <vt:i4>44</vt:i4>
      </vt:variant>
    </vt:vector>
  </HeadingPairs>
  <TitlesOfParts>
    <vt:vector size="61" baseType="lpstr">
      <vt:lpstr>报告封面</vt:lpstr>
      <vt:lpstr>目录</vt:lpstr>
      <vt:lpstr>填写说明</vt:lpstr>
      <vt:lpstr>项目属性</vt:lpstr>
      <vt:lpstr>项目度量分析计划</vt:lpstr>
      <vt:lpstr>模型</vt:lpstr>
      <vt:lpstr>预测-结果</vt:lpstr>
      <vt:lpstr>预测-指导</vt:lpstr>
      <vt:lpstr>需求</vt:lpstr>
      <vt:lpstr>工作量分布</vt:lpstr>
      <vt:lpstr>规模</vt:lpstr>
      <vt:lpstr>项目进度</vt:lpstr>
      <vt:lpstr>过程产出缺陷度量</vt:lpstr>
      <vt:lpstr>测试及验收缺陷度量</vt:lpstr>
      <vt:lpstr>人员统计</vt:lpstr>
      <vt:lpstr>根因分析</vt:lpstr>
      <vt:lpstr>模型数据检查</vt:lpstr>
      <vt:lpstr>Diskname</vt:lpstr>
      <vt:lpstr>for_add</vt:lpstr>
      <vt:lpstr>for_Creview</vt:lpstr>
      <vt:lpstr>for_CRreview</vt:lpstr>
      <vt:lpstr>for_Dreview</vt:lpstr>
      <vt:lpstr>for_FRreview</vt:lpstr>
      <vt:lpstr>for_set_all1</vt:lpstr>
      <vt:lpstr>for_set_all2</vt:lpstr>
      <vt:lpstr>for_set_all3</vt:lpstr>
      <vt:lpstr>for_set_all4</vt:lpstr>
      <vt:lpstr>for_set_all5</vt:lpstr>
      <vt:lpstr>for_set_all6</vt:lpstr>
      <vt:lpstr>for_set_calculate1</vt:lpstr>
      <vt:lpstr>for_set_calculate2</vt:lpstr>
      <vt:lpstr>for_set_calculate3</vt:lpstr>
      <vt:lpstr>for_set_calculate4</vt:lpstr>
      <vt:lpstr>for_set_calculate5</vt:lpstr>
      <vt:lpstr>for_set_calculate6</vt:lpstr>
      <vt:lpstr>for_set_PPB</vt:lpstr>
      <vt:lpstr>for_set_PPB1</vt:lpstr>
      <vt:lpstr>for_set_PPB2</vt:lpstr>
      <vt:lpstr>for_set_PPB3</vt:lpstr>
      <vt:lpstr>for_set_PPB4</vt:lpstr>
      <vt:lpstr>for_set_PPB5</vt:lpstr>
      <vt:lpstr>for_set_PPB6</vt:lpstr>
      <vt:lpstr>for_set_review1</vt:lpstr>
      <vt:lpstr>for_set_review2</vt:lpstr>
      <vt:lpstr>for_set_review3</vt:lpstr>
      <vt:lpstr>for_set_review4</vt:lpstr>
      <vt:lpstr>for_set_review5</vt:lpstr>
      <vt:lpstr>for_set_test</vt:lpstr>
      <vt:lpstr>for_set_week</vt:lpstr>
      <vt:lpstr>for_TCreview</vt:lpstr>
      <vt:lpstr>for_Test</vt:lpstr>
      <vt:lpstr>PDeviation</vt:lpstr>
      <vt:lpstr>Username</vt:lpstr>
      <vt:lpstr>VCreview</vt:lpstr>
      <vt:lpstr>VCRreview</vt:lpstr>
      <vt:lpstr>VDeviation</vt:lpstr>
      <vt:lpstr>VDreview</vt:lpstr>
      <vt:lpstr>VFRreview</vt:lpstr>
      <vt:lpstr>VTCreview</vt:lpstr>
      <vt:lpstr>VTest</vt:lpstr>
      <vt:lpstr>Vweek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Windows 用户</cp:lastModifiedBy>
  <dcterms:created xsi:type="dcterms:W3CDTF">2006-09-16T00:00:00Z</dcterms:created>
  <dcterms:modified xsi:type="dcterms:W3CDTF">2016-11-17T07:21:21Z</dcterms:modified>
</cp:coreProperties>
</file>